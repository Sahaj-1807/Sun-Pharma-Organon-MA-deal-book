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ssumptions" sheetId="3" state="visible" r:id="rId5"/>
    <sheet name="Historicals" sheetId="4" state="visible" r:id="rId6"/>
    <sheet name="DCF" sheetId="5" state="visible" r:id="rId7"/>
    <sheet name="Sensitivity" sheetId="6" state="visible" r:id="rId8"/>
    <sheet name="Trading Comps" sheetId="7" state="visible" r:id="rId9"/>
    <sheet name="Precedents" sheetId="8" state="visible" r:id="rId10"/>
    <sheet name="Sources &amp; Uses" sheetId="9" state="visible" r:id="rId11"/>
    <sheet name="PPA" sheetId="10" state="visible" r:id="rId12"/>
    <sheet name="Debt Schedule" sheetId="11" state="visible" r:id="rId13"/>
    <sheet name="Accretion" sheetId="12" state="visible" r:id="rId14"/>
    <sheet name="Football Field" sheetId="13" state="visible" r:id="rId15"/>
    <sheet name="Risk Registe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<sst xmlns="http://schemas.openxmlformats.org/spreadsheetml/2006/main" count="256" uniqueCount="239">
  <si>
    <t xml:space="preserve">SUN PHARMA  /  ORGANON</t>
  </si>
  <si>
    <t xml:space="preserve">Integrated M&amp;A Model — Valuation · Merger · Risk</t>
  </si>
  <si>
    <t xml:space="preserve">$14.00/share all-cash · EV ~$11.75bn · expected close early 2027</t>
  </si>
  <si>
    <t xml:space="preserve">KEY OUTPUTS</t>
  </si>
  <si>
    <t xml:space="preserve">Enterprise value ($mm)</t>
  </si>
  <si>
    <t xml:space="preserve">Equity value ($mm)</t>
  </si>
  <si>
    <t xml:space="preserve">Equity value per share ($)</t>
  </si>
  <si>
    <t xml:space="preserve">Premium/(discount) to offer</t>
  </si>
  <si>
    <t xml:space="preserve">WACC (base)</t>
  </si>
  <si>
    <t xml:space="preserve">Goodwill created ($mm)</t>
  </si>
  <si>
    <t xml:space="preserve">Year-1 EPS accretion</t>
  </si>
  <si>
    <t xml:space="preserve">Year-3 EPS accretion</t>
  </si>
  <si>
    <t xml:space="preserve">TABS</t>
  </si>
  <si>
    <t xml:space="preserve">Instructions · Assumptions · Historicals · DCF · Sensitivity · Trading Comps · Precedents · Sources &amp; Uses · PPA · Debt Schedule · Accretion · Football Field · Risk Register</t>
  </si>
  <si>
    <t xml:space="preserve">Confidential — educational purposes only. Analyst estimates; see report Ch.6-9 for sources.</t>
  </si>
  <si>
    <t xml:space="preserve">Instructions</t>
  </si>
  <si>
    <t xml:space="preserve">COLOUR CONVENTION</t>
  </si>
  <si>
    <t xml:space="preserve">Blue = hardcoded input / assumption (edit these).</t>
  </si>
  <si>
    <t xml:space="preserve">Black = formula.</t>
  </si>
  <si>
    <t xml:space="preserve">Green = link to another sheet.</t>
  </si>
  <si>
    <t xml:space="preserve">HOW TO USE</t>
  </si>
  <si>
    <t xml:space="preserve">1. All inputs live on the Assumptions tab. Change any blue cell and the whole model recomputes.</t>
  </si>
  <si>
    <t xml:space="preserve">2. DCF, Sensitivity, Comps and Precedents value Organon standalone; Football Field summarises them.</t>
  </si>
  <si>
    <t xml:space="preserve">3. Sources &amp; Uses, PPA, Debt Schedule and Accretion form the merger model (acquirer = Sun Pharma).</t>
  </si>
  <si>
    <t xml:space="preserve">4. Historicals holds five years of Sun and Organon actuals with computed ratios.</t>
  </si>
  <si>
    <t xml:space="preserve">5. Risk Register scores risks (Probability x Impact).</t>
  </si>
  <si>
    <t xml:space="preserve">KEY CONVENTIONS</t>
  </si>
  <si>
    <t xml:space="preserve">Currency in US$ mm unless labelled; Sun Pharma converted at the FX on Assumptions. Negatives in (brackets).</t>
  </si>
  <si>
    <t xml:space="preserve">Interest computed on opening debt balance (no circularity). Terminal value via exit multiple.</t>
  </si>
  <si>
    <t xml:space="preserve">All figures are analyst estimates anchored on FY2025 actuals; primary sources in 05_Data/DATA_SOURCES.docx.</t>
  </si>
  <si>
    <t xml:space="preserve">Assumptions</t>
  </si>
  <si>
    <t xml:space="preserve">Blue = input · Black = formula · Green = link</t>
  </si>
  <si>
    <t xml:space="preserve">OPERATING (Organon, US$ mm)</t>
  </si>
  <si>
    <t xml:space="preserve">Base revenue FY2025</t>
  </si>
  <si>
    <t xml:space="preserve">EBITDA margin</t>
  </si>
  <si>
    <t xml:space="preserve">D&amp;A</t>
  </si>
  <si>
    <t xml:space="preserve">Capex</t>
  </si>
  <si>
    <t xml:space="preserve">Change in NWC</t>
  </si>
  <si>
    <t xml:space="preserve">Tax rate</t>
  </si>
  <si>
    <t xml:space="preserve">Terminal exit EV/EBITDA</t>
  </si>
  <si>
    <t xml:space="preserve">Revenue growth by year</t>
  </si>
  <si>
    <t xml:space="preserve">  (Yr1..Yr5)</t>
  </si>
  <si>
    <t xml:space="preserve">WACC</t>
  </si>
  <si>
    <t xml:space="preserve">Risk-free rate</t>
  </si>
  <si>
    <t xml:space="preserve">Equity risk premium</t>
  </si>
  <si>
    <t xml:space="preserve">Beta</t>
  </si>
  <si>
    <t xml:space="preserve">Cost of equity (CAPM)</t>
  </si>
  <si>
    <t xml:space="preserve">Pre-tax cost of debt</t>
  </si>
  <si>
    <t xml:space="preserve">After-tax cost of debt</t>
  </si>
  <si>
    <t xml:space="preserve">Weight equity</t>
  </si>
  <si>
    <t xml:space="preserve">Weight debt</t>
  </si>
  <si>
    <t xml:space="preserve">WACC (CAPM)</t>
  </si>
  <si>
    <t xml:space="preserve">Company-specific premium</t>
  </si>
  <si>
    <t xml:space="preserve">WACC (base case)</t>
  </si>
  <si>
    <t xml:space="preserve">CAPITALISATION</t>
  </si>
  <si>
    <t xml:space="preserve">Shares outstanding (mm)</t>
  </si>
  <si>
    <t xml:space="preserve">Net debt</t>
  </si>
  <si>
    <t xml:space="preserve">Offer price ($/share)</t>
  </si>
  <si>
    <t xml:space="preserve">MERGER INPUTS</t>
  </si>
  <si>
    <t xml:space="preserve">FX (INR per USD)</t>
  </si>
  <si>
    <t xml:space="preserve">Sun net income</t>
  </si>
  <si>
    <t xml:space="preserve">Sun shares (mm)</t>
  </si>
  <si>
    <t xml:space="preserve">Organon adj. net income</t>
  </si>
  <si>
    <t xml:space="preserve">Organon existing interest (pre-tax)</t>
  </si>
  <si>
    <t xml:space="preserve">Sun EBITDA</t>
  </si>
  <si>
    <t xml:space="preserve">Organon EBITDA</t>
  </si>
  <si>
    <t xml:space="preserve">New acquisition debt</t>
  </si>
  <si>
    <t xml:space="preserve">Blended debt rate</t>
  </si>
  <si>
    <t xml:space="preserve">Sun cash used</t>
  </si>
  <si>
    <t xml:space="preserve">Forgone rate on cash</t>
  </si>
  <si>
    <t xml:space="preserve">Synergy run-rate</t>
  </si>
  <si>
    <t xml:space="preserve">Synergy phasing (Yr1/2/3)</t>
  </si>
  <si>
    <t xml:space="preserve">PPA intangible step-up</t>
  </si>
  <si>
    <t xml:space="preserve">Intangible life (yrs)</t>
  </si>
  <si>
    <t xml:space="preserve">Organon book equity (est.)</t>
  </si>
  <si>
    <t xml:space="preserve">Equity purchase price</t>
  </si>
  <si>
    <t xml:space="preserve">FCF for debt sweep (/yr)</t>
  </si>
  <si>
    <t xml:space="preserve">Five-Year Historicals</t>
  </si>
  <si>
    <t xml:space="preserve">Sun Pharma (INR crore, Mar-YE)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</si>
  <si>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</si>
  <si>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</si>
  <si>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</si>
  <si>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</si>
  <si>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</si>
  <si>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</t>
  </si>
  <si>
    <t xml:space="preserve">EBITDA</t>
  </si>
  <si>
    <t xml:space="preserve">Net profit</t>
  </si>
  <si>
    <t xml:space="preserve">Net margin</t>
  </si>
  <si>
    <t xml:space="preserve">Organon (US$ mm, Dec-YE)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</si>
  <si>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</si>
  <si>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</si>
  <si>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</si>
  <si>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</si>
  <si>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</si>
  <si>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Adj. EBITDA</t>
  </si>
  <si>
    <t xml:space="preserve">Adj. EBITDA margin</t>
  </si>
  <si>
    <t xml:space="preserve">Gross debt</t>
  </si>
  <si>
    <t xml:space="preserve">Cash</t>
  </si>
  <si>
    <t xml:space="preserve">Net debt / EBITDA</t>
  </si>
  <si>
    <t xml:space="preserve">Sun EBITDA FY21/22/24 approx; FY23 &amp; FY25 reported. Organon adj EBITDA 2021-22 est.</t>
  </si>
  <si>
    <t xml:space="preserve">Discounted Cash Flow (US$ mm)</t>
  </si>
  <si>
    <t xml:space="preserve">US$ mm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</si>
  <si>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</si>
  <si>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</si>
  <si>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</si>
  <si>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</si>
  <si>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</si>
  <si>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Period</t>
  </si>
  <si>
    <t xml:space="preserve">less: D&amp;A</t>
  </si>
  <si>
    <t xml:space="preserve">EBIT</t>
  </si>
  <si>
    <t xml:space="preserve">NOPAT</t>
  </si>
  <si>
    <t xml:space="preserve">add: D&amp;A</t>
  </si>
  <si>
    <t xml:space="preserve">less: Capex</t>
  </si>
  <si>
    <t xml:space="preserve">less: Change in NWC</t>
  </si>
  <si>
    <t xml:space="preserve">Unlevered FCF</t>
  </si>
  <si>
    <t xml:space="preserve">Discount factor</t>
  </si>
  <si>
    <t xml:space="preserve">PV of UFCF</t>
  </si>
  <si>
    <t xml:space="preserve">DCF SUMMARY</t>
  </si>
  <si>
    <t xml:space="preserve">Sum PV of UFCF (2026-30)</t>
  </si>
  <si>
    <t xml:space="preserve">Terminal value (exit x EBITDA30)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</si>
  <si>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</si>
  <si>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</si>
  <si>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</si>
  <si>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</si>
  <si>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Shares (mm)</t>
  </si>
  <si>
    <t xml:space="preserve">Equity value per share</t>
  </si>
  <si>
    <t xml:space="preserve">DCF Sensitivity — Equity Value / Share ($)</t>
  </si>
  <si>
    <t xml:space="preserve">Exit \ WACC</t>
  </si>
  <si>
    <t xml:space="preserve">Trading Comparables</t>
  </si>
  <si>
    <t xml:space="preserve">Organon Adj. EBITDA ($mm)</t>
  </si>
  <si>
    <t xml:space="preserve">Peer</t>
  </si>
  <si>
    <t xml:space="preserve">EV/EBITDA</t>
  </si>
  <si>
    <t xml:space="preserve">Viatris</t>
  </si>
  <si>
    <t xml:space="preserve">Teva</t>
  </si>
  <si>
    <t xml:space="preserve">Hikma</t>
  </si>
  <si>
    <t xml:space="preserve">Dr Reddy's</t>
  </si>
  <si>
    <t xml:space="preserve">Cipla</t>
  </si>
  <si>
    <t xml:space="preserve">Relevant range low (x)</t>
  </si>
  <si>
    <t xml:space="preserve">Relevant range high (x)</t>
  </si>
  <si>
    <t xml:space="preserve">Implied equity/share low</t>
  </si>
  <si>
    <t xml:space="preserve">Implied equity/share high</t>
  </si>
  <si>
    <t xml:space="preserve">Precedent Transactions</t>
  </si>
  <si>
    <t xml:space="preserve">Precedent</t>
  </si>
  <si>
    <t xml:space="preserve">Mylan+Upjohn -&gt; Viatris (2020)</t>
  </si>
  <si>
    <t xml:space="preserve">STADA / Bain-Cinven (2017)</t>
  </si>
  <si>
    <t xml:space="preserve">Teva / Allergan Generics (2016)</t>
  </si>
  <si>
    <t xml:space="preserve">Sources &amp; Uses ($mm)</t>
  </si>
  <si>
    <t xml:space="preserve">Sources</t>
  </si>
  <si>
    <t xml:space="preserve">Uses</t>
  </si>
  <si>
    <t xml:space="preserve">Refinance Organon debt</t>
  </si>
  <si>
    <t xml:space="preserve">Sun internal accruals (plug)</t>
  </si>
  <si>
    <t xml:space="preserve">Equity consideration</t>
  </si>
  <si>
    <t xml:space="preserve">Organon cash</t>
  </si>
  <si>
    <t xml:space="preserve">Fees &amp; expenses (est.)</t>
  </si>
  <si>
    <t xml:space="preserve">Total sources</t>
  </si>
  <si>
    <t xml:space="preserve">Total uses</t>
  </si>
  <si>
    <t xml:space="preserve">Check (sources - uses)</t>
  </si>
  <si>
    <t xml:space="preserve">Purchase Price Allocation ($mm)</t>
  </si>
  <si>
    <t xml:space="preserve">less: Organon book equity</t>
  </si>
  <si>
    <t xml:space="preserve">Allocable excess</t>
  </si>
  <si>
    <t xml:space="preserve">Identifiable intangible step-up</t>
  </si>
  <si>
    <t xml:space="preserve">Deferred tax liability on step-up</t>
  </si>
  <si>
    <t xml:space="preserve">Goodwill (plug)</t>
  </si>
  <si>
    <t xml:space="preserve">Incremental amortization, pre-tax</t>
  </si>
  <si>
    <t xml:space="preserve">Incremental amortization, after-tax</t>
  </si>
  <si>
    <t xml:space="preserve">Debt Schedule ($mm)</t>
  </si>
  <si>
    <t xml:space="preserve">Year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</si>
  <si>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</si>
  <si>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</si>
  <si>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</si>
  <si>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</si>
  <si>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</si>
  <si>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Beginning debt</t>
  </si>
  <si>
    <t xml:space="preserve">Interest (opening x rate)</t>
  </si>
  <si>
    <t xml:space="preserve">FCF sweep (repayment)</t>
  </si>
  <si>
    <t xml:space="preserve">Synergy add (EBITDA)</t>
  </si>
  <si>
    <t xml:space="preserve">Ending debt</t>
  </si>
  <si>
    <t xml:space="preserve">Combined EBITDA</t>
  </si>
  <si>
    <t xml:space="preserve">Accretion / (Dilution)</t>
  </si>
  <si>
    <t xml:space="preserve">Year 1</t>
  </si>
  <si>
    <t xml:space="preserve">Year 2</t>
  </si>
  <si>
    <t xml:space="preserve">Year 3</t>
  </si>
  <si>
    <t xml:space="preserve">Sun standalone net income</t>
  </si>
  <si>
    <t xml:space="preserve">Organon pre-financing earnings (a-t)</t>
  </si>
  <si>
    <t xml:space="preserve">less: new acquisition interest (a-t)</t>
  </si>
  <si>
    <t xml:space="preserve">less: forgone interest on cash (a-t)</t>
  </si>
  <si>
    <t xml:space="preserve">less: incremental PPA amort (a-t)</t>
  </si>
  <si>
    <t xml:space="preserve">add: synergies (a-t)</t>
  </si>
  <si>
    <t xml:space="preserve">Pro forma net income</t>
  </si>
  <si>
    <t xml:space="preserve">Sun standalone EPS ($)</t>
  </si>
  <si>
    <t xml:space="preserve">Pro forma EPS ($)</t>
  </si>
  <si>
    <t xml:space="preserve">Sun standalone EPS (INR)</t>
  </si>
  <si>
    <t xml:space="preserve">Pro forma EPS (INR)</t>
  </si>
  <si>
    <t xml:space="preserve">Accretion / (dilution) %</t>
  </si>
  <si>
    <t xml:space="preserve">Football Field — Equity Value / Share ($)</t>
  </si>
  <si>
    <t xml:space="preserve">Methodology</t>
  </si>
  <si>
    <t xml:space="preserve">Low</t>
  </si>
  <si>
    <t xml:space="preserve">High</t>
  </si>
  <si>
    <t xml:space="preserve">DCF (WACC 8.5-9.5%, exit 5.5-6.5x)</t>
  </si>
  <si>
    <t xml:space="preserve">Trading comps (6.0-7.5x)</t>
  </si>
  <si>
    <t xml:space="preserve">Precedent txns (7.0-9.0x)</t>
  </si>
  <si>
    <t xml:space="preserve">52-week trading range</t>
  </si>
  <si>
    <t xml:space="preserve">Risk Register</t>
  </si>
  <si>
    <t xml:space="preserve">Risk</t>
  </si>
  <si>
    <t xml:space="preserve">Category</t>
  </si>
  <si>
    <t xml:space="preserve">Probability</t>
  </si>
  <si>
    <t xml:space="preserve">Impact</t>
  </si>
  <si>
    <t xml:space="preserve">Score</t>
  </si>
  <si>
    <t xml:space="preserve">Mitigation</t>
  </si>
  <si>
    <t xml:space="preserve">Established-brands decline</t>
  </si>
  <si>
    <t xml:space="preserve">Commercial</t>
  </si>
  <si>
    <t xml:space="preserve">Mix to WH/biosimilars; low 6.2x entry gives margin of safety</t>
  </si>
  <si>
    <t xml:space="preserve">Refinancing / rates</t>
  </si>
  <si>
    <t xml:space="preserve">Financing</t>
  </si>
  <si>
    <t xml:space="preserve">Committed bridge; term out early; hedge rates</t>
  </si>
  <si>
    <t xml:space="preserve">Nexplanon probe / litigation</t>
  </si>
  <si>
    <t xml:space="preserve">Litigation</t>
  </si>
  <si>
    <t xml:space="preserve">Diligence, reps &amp; warranties, indemnity/escrow</t>
  </si>
  <si>
    <t xml:space="preserve">Biosimilar price erosion</t>
  </si>
  <si>
    <t xml:space="preserve">Competition</t>
  </si>
  <si>
    <t xml:space="preserve">Sun low-cost, API-integrated manufacturing</t>
  </si>
  <si>
    <t xml:space="preserve">Cross-border integration</t>
  </si>
  <si>
    <t xml:space="preserve">Integration</t>
  </si>
  <si>
    <t xml:space="preserve">Integration office; retain Organon team</t>
  </si>
  <si>
    <t xml:space="preserve">Synergy shortfall</t>
  </si>
  <si>
    <t xml:space="preserve">Execution</t>
  </si>
  <si>
    <t xml:space="preserve">Conservative underwrite; phased 30/70/100</t>
  </si>
  <si>
    <t xml:space="preserve">Currency (USD/INR)</t>
  </si>
  <si>
    <t xml:space="preserve">Currency</t>
  </si>
  <si>
    <t xml:space="preserve">USD debt matched to USD cash flows</t>
  </si>
  <si>
    <t xml:space="preserve">Regulatory / antitrust</t>
  </si>
  <si>
    <t xml:space="preserve">Regulatory</t>
  </si>
  <si>
    <t xml:space="preserve">Low overlap; multi-jurisdiction filings</t>
  </si>
  <si>
    <t xml:space="preserve">Macroeconomic</t>
  </si>
  <si>
    <t xml:space="preserve">Macro</t>
  </si>
  <si>
    <t xml:space="preserve">Diversified geography; defensive demand</t>
  </si>
  <si>
    <t xml:space="preserve">Technology / pipeline</t>
  </si>
  <si>
    <t xml:space="preserve">Technology</t>
  </si>
  <si>
    <t xml:space="preserve">Established portfolio; low pipeline reliance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</si>
</sst>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\$#,##0.00;&quot;($&quot;#,##0.00\);\-"/>
    <numFmt numFmtId="167" formatCode="0.0%"/>
    <numFmt numFmtId="168" formatCode="0.0\x"/>
    <numFmt numFmtId="169" formatCode="0.00"/>
    <numFmt numFmtId="170" formatCode="#,##0"/>
    <numFmt numFmtId="171" formatCode="#,##0.0"/>
    <numFmt numFmtId="172" formatCode="#,##0;\(#,##0\);\-"/>
    <numFmt numFmtId="173" formatCode="0.000"/>
    <numFmt numFmtId="174" formatCode="\₹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6E6E6"/>
        <bgColor rgb="FFF4F4F4"/>
      </patternFill>
    </fill>
    <fill>
      <patternFill patternType="solid">
        <fgColor rgb="FFF4F4F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n">
        <f aca="false">DCF!C21</f>
        <v>12382.6225829992</v>
      </c>
    </row>
    <row r="8" customFormat="false" ht="15" hidden="false" customHeight="false" outlineLevel="0" collapsed="false">
      <c r="B8" s="5" t="s">
        <v>5</v>
      </c>
      <c r="C8" s="6" t="n">
        <f aca="false">DCF!C23</f>
        <v>4282.62258299918</v>
      </c>
    </row>
    <row r="9" customFormat="false" ht="15" hidden="false" customHeight="false" outlineLevel="0" collapsed="false">
      <c r="B9" s="5" t="s">
        <v>6</v>
      </c>
      <c r="C9" s="7" t="n">
        <f aca="false">DCF!C25</f>
        <v>16.4716253192276</v>
      </c>
    </row>
    <row r="10" customFormat="false" ht="15" hidden="false" customHeight="false" outlineLevel="0" collapsed="false">
      <c r="B10" s="5" t="s">
        <v>7</v>
      </c>
      <c r="C10" s="8" t="n">
        <f aca="false">DCF!C27</f>
        <v>0.176544665659115</v>
      </c>
    </row>
    <row r="11" customFormat="false" ht="15" hidden="false" customHeight="false" outlineLevel="0" collapsed="false">
      <c r="B11" s="5" t="s">
        <v>8</v>
      </c>
      <c r="C11" s="8" t="n">
        <f aca="false">Assumptions!C27</f>
        <v>0.0900325</v>
      </c>
    </row>
    <row r="12" customFormat="false" ht="15" hidden="false" customHeight="false" outlineLevel="0" collapsed="false">
      <c r="B12" s="5" t="s">
        <v>9</v>
      </c>
      <c r="C12" s="6" t="n">
        <f aca="false">PPA!C9</f>
        <v>1320</v>
      </c>
    </row>
    <row r="13" customFormat="false" ht="15" hidden="false" customHeight="false" outlineLevel="0" collapsed="false">
      <c r="B13" s="5" t="s">
        <v>10</v>
      </c>
      <c r="C13" s="8" t="n">
        <f aca="false">Accretion!C17</f>
        <v>0.595422535211267</v>
      </c>
    </row>
    <row r="14" customFormat="false" ht="15" hidden="false" customHeight="false" outlineLevel="0" collapsed="false">
      <c r="B14" s="5" t="s">
        <v>11</v>
      </c>
      <c r="C14" s="8" t="n">
        <f aca="false">Accretion!E17</f>
        <v>0.750704225352113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true" outlineLevel="0" collapsed="false">
      <c r="B17" s="9" t="s">
        <v>13</v>
      </c>
      <c r="C17" s="9"/>
      <c r="D17" s="9"/>
      <c r="E17" s="9"/>
      <c r="F17" s="9"/>
    </row>
    <row r="18" customFormat="false" ht="15" hidden="false" customHeight="false" outlineLevel="0" collapsed="false">
      <c r="B18" s="9"/>
      <c r="C18" s="9"/>
      <c r="D18" s="9"/>
      <c r="E18" s="9"/>
      <c r="F18" s="9"/>
    </row>
    <row r="19" customFormat="false" ht="15" hidden="false" customHeight="false" outlineLevel="0" collapsed="false">
      <c r="B19" s="9"/>
      <c r="C19" s="9"/>
      <c r="D19" s="9"/>
      <c r="E19" s="9"/>
      <c r="F19" s="9"/>
    </row>
    <row r="21" customFormat="false" ht="15" hidden="false" customHeight="false" outlineLevel="0" collapsed="false">
      <c r="B21" s="10" t="s">
        <v>14</v>
      </c>
    </row>
  </sheetData>
  <mergeCells count="1">
    <mergeCell ref="B17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1" t="s">
        <v>15</v>
      </c>
    </row>
    <row r="4" customFormat="false" ht="15" hidden="false" customHeight="false" outlineLevel="0" collapsed="false">
      <c r="B4" s="12" t="s">
        <v>16</v>
      </c>
    </row>
    <row r="5" customFormat="false" ht="15" hidden="false" customHeight="false" outlineLevel="0" collapsed="false">
      <c r="B5" s="13" t="s">
        <v>17</v>
      </c>
    </row>
    <row r="6" customFormat="false" ht="15" hidden="false" customHeight="false" outlineLevel="0" collapsed="false">
      <c r="B6" s="13" t="s">
        <v>18</v>
      </c>
    </row>
    <row r="7" customFormat="false" ht="15" hidden="false" customHeight="false" outlineLevel="0" collapsed="false">
      <c r="B7" s="13" t="s">
        <v>19</v>
      </c>
    </row>
    <row r="8" customFormat="false" ht="15" hidden="false" customHeight="false" outlineLevel="0" collapsed="false">
      <c r="B8" s="13"/>
    </row>
    <row r="9" customFormat="false" ht="15" hidden="false" customHeight="false" outlineLevel="0" collapsed="false">
      <c r="B9" s="12" t="s">
        <v>20</v>
      </c>
    </row>
    <row r="10" customFormat="false" ht="15" hidden="false" customHeight="false" outlineLevel="0" collapsed="false">
      <c r="B10" s="13" t="s">
        <v>21</v>
      </c>
    </row>
    <row r="11" customFormat="false" ht="15" hidden="false" customHeight="false" outlineLevel="0" collapsed="false">
      <c r="B11" s="13" t="s">
        <v>22</v>
      </c>
    </row>
    <row r="12" customFormat="false" ht="15" hidden="false" customHeight="false" outlineLevel="0" collapsed="false">
      <c r="B12" s="13" t="s">
        <v>23</v>
      </c>
    </row>
    <row r="13" customFormat="false" ht="15" hidden="false" customHeight="false" outlineLevel="0" collapsed="false">
      <c r="B13" s="13" t="s">
        <v>24</v>
      </c>
    </row>
    <row r="14" customFormat="false" ht="15" hidden="false" customHeight="false" outlineLevel="0" collapsed="false">
      <c r="B14" s="13" t="s">
        <v>25</v>
      </c>
    </row>
    <row r="15" customFormat="false" ht="15" hidden="false" customHeight="false" outlineLevel="0" collapsed="false">
      <c r="B15" s="13"/>
    </row>
    <row r="16" customFormat="false" ht="15" hidden="false" customHeight="false" outlineLevel="0" collapsed="false">
      <c r="B16" s="12" t="s">
        <v>26</v>
      </c>
    </row>
    <row r="17" customFormat="false" ht="15" hidden="false" customHeight="false" outlineLevel="0" collapsed="false">
      <c r="B17" s="13" t="s">
        <v>27</v>
      </c>
    </row>
    <row r="18" customFormat="false" ht="15" hidden="false" customHeight="false" outlineLevel="0" collapsed="false">
      <c r="B18" s="13" t="s">
        <v>28</v>
      </c>
    </row>
    <row r="19" customFormat="false" ht="15" hidden="false" customHeight="false" outlineLevel="0" collapsed="false">
      <c r="B19" s="1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1" t="s">
        <v>30</v>
      </c>
    </row>
    <row r="3" customFormat="false" ht="15" hidden="false" customHeight="false" outlineLevel="0" collapsed="false">
      <c r="B3" s="14" t="s">
        <v>31</v>
      </c>
    </row>
    <row r="5" customFormat="false" ht="15" hidden="false" customHeight="false" outlineLevel="0" collapsed="false">
      <c r="B5" s="4" t="s">
        <v>32</v>
      </c>
    </row>
    <row r="6" customFormat="false" ht="15" hidden="false" customHeight="false" outlineLevel="0" collapsed="false">
      <c r="B6" s="5" t="s">
        <v>33</v>
      </c>
      <c r="C6" s="15" t="n">
        <v>6216</v>
      </c>
    </row>
    <row r="7" customFormat="false" ht="15" hidden="false" customHeight="false" outlineLevel="0" collapsed="false">
      <c r="B7" s="5" t="s">
        <v>34</v>
      </c>
      <c r="C7" s="16" t="n">
        <v>0.3</v>
      </c>
    </row>
    <row r="8" customFormat="false" ht="15" hidden="false" customHeight="false" outlineLevel="0" collapsed="false">
      <c r="B8" s="5" t="s">
        <v>35</v>
      </c>
      <c r="C8" s="15" t="n">
        <v>300</v>
      </c>
    </row>
    <row r="9" customFormat="false" ht="15" hidden="false" customHeight="false" outlineLevel="0" collapsed="false">
      <c r="B9" s="5" t="s">
        <v>36</v>
      </c>
      <c r="C9" s="15" t="n">
        <v>160</v>
      </c>
    </row>
    <row r="10" customFormat="false" ht="15" hidden="false" customHeight="false" outlineLevel="0" collapsed="false">
      <c r="B10" s="5" t="s">
        <v>37</v>
      </c>
      <c r="C10" s="15" t="n">
        <v>40</v>
      </c>
    </row>
    <row r="11" customFormat="false" ht="15" hidden="false" customHeight="false" outlineLevel="0" collapsed="false">
      <c r="B11" s="5" t="s">
        <v>38</v>
      </c>
      <c r="C11" s="16" t="n">
        <v>0.19</v>
      </c>
    </row>
    <row r="12" customFormat="false" ht="15" hidden="false" customHeight="false" outlineLevel="0" collapsed="false">
      <c r="B12" s="5" t="s">
        <v>39</v>
      </c>
      <c r="C12" s="17" t="n">
        <v>6</v>
      </c>
    </row>
    <row r="13" customFormat="false" ht="15" hidden="false" customHeight="false" outlineLevel="0" collapsed="false">
      <c r="B13" s="5" t="s">
        <v>40</v>
      </c>
    </row>
    <row r="14" customFormat="false" ht="15" hidden="false" customHeight="false" outlineLevel="0" collapsed="false">
      <c r="B14" s="10" t="s">
        <v>41</v>
      </c>
      <c r="C14" s="16" t="n">
        <v>-0.02</v>
      </c>
      <c r="D14" s="16" t="n">
        <v>-0.01</v>
      </c>
      <c r="E14" s="16" t="n">
        <v>0</v>
      </c>
      <c r="F14" s="16" t="n">
        <v>0.01</v>
      </c>
      <c r="G14" s="16" t="n">
        <v>0.01</v>
      </c>
    </row>
    <row r="16" customFormat="false" ht="15" hidden="false" customHeight="false" outlineLevel="0" collapsed="false">
      <c r="B16" s="4" t="s">
        <v>42</v>
      </c>
    </row>
    <row r="17" customFormat="false" ht="15" hidden="false" customHeight="false" outlineLevel="0" collapsed="false">
      <c r="B17" s="5" t="s">
        <v>43</v>
      </c>
      <c r="C17" s="16" t="n">
        <v>0.045</v>
      </c>
    </row>
    <row r="18" customFormat="false" ht="15" hidden="false" customHeight="false" outlineLevel="0" collapsed="false">
      <c r="B18" s="5" t="s">
        <v>44</v>
      </c>
      <c r="C18" s="16" t="n">
        <v>0.055</v>
      </c>
    </row>
    <row r="19" customFormat="false" ht="15" hidden="false" customHeight="false" outlineLevel="0" collapsed="false">
      <c r="B19" s="5" t="s">
        <v>45</v>
      </c>
      <c r="C19" s="18" t="n">
        <v>1.05</v>
      </c>
    </row>
    <row r="20" customFormat="false" ht="15" hidden="false" customHeight="false" outlineLevel="0" collapsed="false">
      <c r="B20" s="5" t="s">
        <v>46</v>
      </c>
      <c r="C20" s="19" t="n">
        <f aca="false">C17+C19*C18</f>
        <v>0.10275</v>
      </c>
    </row>
    <row r="21" customFormat="false" ht="15" hidden="false" customHeight="false" outlineLevel="0" collapsed="false">
      <c r="B21" s="5" t="s">
        <v>47</v>
      </c>
      <c r="C21" s="16" t="n">
        <v>0.07</v>
      </c>
    </row>
    <row r="22" customFormat="false" ht="15" hidden="false" customHeight="false" outlineLevel="0" collapsed="false">
      <c r="B22" s="5" t="s">
        <v>48</v>
      </c>
      <c r="C22" s="19" t="n">
        <f aca="false">C21*(1-C11)</f>
        <v>0.0567</v>
      </c>
    </row>
    <row r="23" customFormat="false" ht="15" hidden="false" customHeight="false" outlineLevel="0" collapsed="false">
      <c r="B23" s="5" t="s">
        <v>49</v>
      </c>
      <c r="C23" s="16" t="n">
        <v>0.65</v>
      </c>
    </row>
    <row r="24" customFormat="false" ht="15" hidden="false" customHeight="false" outlineLevel="0" collapsed="false">
      <c r="B24" s="5" t="s">
        <v>50</v>
      </c>
      <c r="C24" s="16" t="n">
        <v>0.35</v>
      </c>
    </row>
    <row r="25" customFormat="false" ht="15" hidden="false" customHeight="false" outlineLevel="0" collapsed="false">
      <c r="B25" s="5" t="s">
        <v>51</v>
      </c>
      <c r="C25" s="19" t="n">
        <f aca="false">C23*C20+C24*C22</f>
        <v>0.0866325</v>
      </c>
    </row>
    <row r="26" customFormat="false" ht="15" hidden="false" customHeight="false" outlineLevel="0" collapsed="false">
      <c r="B26" s="5" t="s">
        <v>52</v>
      </c>
      <c r="C26" s="16" t="n">
        <v>0.0034</v>
      </c>
    </row>
    <row r="27" customFormat="false" ht="15" hidden="false" customHeight="false" outlineLevel="0" collapsed="false">
      <c r="B27" s="20" t="s">
        <v>53</v>
      </c>
      <c r="C27" s="21" t="n">
        <f aca="false">C25+C26</f>
        <v>0.0900325</v>
      </c>
    </row>
    <row r="29" customFormat="false" ht="15" hidden="false" customHeight="false" outlineLevel="0" collapsed="false">
      <c r="B29" s="4" t="s">
        <v>54</v>
      </c>
    </row>
    <row r="30" customFormat="false" ht="15" hidden="false" customHeight="false" outlineLevel="0" collapsed="false">
      <c r="B30" s="5" t="s">
        <v>55</v>
      </c>
      <c r="C30" s="22" t="n">
        <v>260</v>
      </c>
    </row>
    <row r="31" customFormat="false" ht="15" hidden="false" customHeight="false" outlineLevel="0" collapsed="false">
      <c r="B31" s="5" t="s">
        <v>56</v>
      </c>
      <c r="C31" s="15" t="n">
        <v>8100</v>
      </c>
    </row>
    <row r="32" customFormat="false" ht="15" hidden="false" customHeight="false" outlineLevel="0" collapsed="false">
      <c r="B32" s="5" t="s">
        <v>57</v>
      </c>
      <c r="C32" s="23" t="n">
        <v>14</v>
      </c>
    </row>
    <row r="34" customFormat="false" ht="15" hidden="false" customHeight="false" outlineLevel="0" collapsed="false">
      <c r="B34" s="4" t="s">
        <v>58</v>
      </c>
    </row>
    <row r="35" customFormat="false" ht="15" hidden="false" customHeight="false" outlineLevel="0" collapsed="false">
      <c r="B35" s="5" t="s">
        <v>59</v>
      </c>
      <c r="C35" s="24" t="n">
        <v>85.5</v>
      </c>
    </row>
    <row r="36" customFormat="false" ht="15" hidden="false" customHeight="false" outlineLevel="0" collapsed="false">
      <c r="B36" s="5" t="s">
        <v>60</v>
      </c>
      <c r="C36" s="15" t="n">
        <v>1278</v>
      </c>
    </row>
    <row r="37" customFormat="false" ht="15" hidden="false" customHeight="false" outlineLevel="0" collapsed="false">
      <c r="B37" s="5" t="s">
        <v>61</v>
      </c>
      <c r="C37" s="24" t="n">
        <v>2399.3</v>
      </c>
    </row>
    <row r="38" customFormat="false" ht="15" hidden="false" customHeight="false" outlineLevel="0" collapsed="false">
      <c r="B38" s="5" t="s">
        <v>62</v>
      </c>
      <c r="C38" s="15" t="n">
        <v>954</v>
      </c>
    </row>
    <row r="39" customFormat="false" ht="15" hidden="false" customHeight="false" outlineLevel="0" collapsed="false">
      <c r="B39" s="5" t="s">
        <v>63</v>
      </c>
      <c r="C39" s="15" t="n">
        <v>450</v>
      </c>
    </row>
    <row r="40" customFormat="false" ht="15" hidden="false" customHeight="false" outlineLevel="0" collapsed="false">
      <c r="B40" s="5" t="s">
        <v>64</v>
      </c>
      <c r="C40" s="15" t="n">
        <v>1765</v>
      </c>
    </row>
    <row r="41" customFormat="false" ht="15" hidden="false" customHeight="false" outlineLevel="0" collapsed="false">
      <c r="B41" s="5" t="s">
        <v>65</v>
      </c>
      <c r="C41" s="15" t="n">
        <v>1910</v>
      </c>
    </row>
    <row r="42" customFormat="false" ht="15" hidden="false" customHeight="false" outlineLevel="0" collapsed="false">
      <c r="B42" s="5" t="s">
        <v>66</v>
      </c>
      <c r="C42" s="15" t="n">
        <v>9500</v>
      </c>
    </row>
    <row r="43" customFormat="false" ht="15" hidden="false" customHeight="false" outlineLevel="0" collapsed="false">
      <c r="B43" s="5" t="s">
        <v>67</v>
      </c>
      <c r="C43" s="16" t="n">
        <v>0.06</v>
      </c>
    </row>
    <row r="44" customFormat="false" ht="15" hidden="false" customHeight="false" outlineLevel="0" collapsed="false">
      <c r="B44" s="5" t="s">
        <v>68</v>
      </c>
      <c r="C44" s="15" t="n">
        <v>2250</v>
      </c>
    </row>
    <row r="45" customFormat="false" ht="15" hidden="false" customHeight="false" outlineLevel="0" collapsed="false">
      <c r="B45" s="5" t="s">
        <v>69</v>
      </c>
      <c r="C45" s="16" t="n">
        <v>0.04</v>
      </c>
    </row>
    <row r="46" customFormat="false" ht="15" hidden="false" customHeight="false" outlineLevel="0" collapsed="false">
      <c r="B46" s="5" t="s">
        <v>70</v>
      </c>
      <c r="C46" s="15" t="n">
        <v>350</v>
      </c>
    </row>
    <row r="47" customFormat="false" ht="15" hidden="false" customHeight="false" outlineLevel="0" collapsed="false">
      <c r="B47" s="5" t="s">
        <v>71</v>
      </c>
      <c r="C47" s="16" t="n">
        <v>0.3</v>
      </c>
      <c r="D47" s="16" t="n">
        <v>0.7</v>
      </c>
      <c r="E47" s="16" t="n">
        <v>1</v>
      </c>
    </row>
    <row r="48" customFormat="false" ht="15" hidden="false" customHeight="false" outlineLevel="0" collapsed="false">
      <c r="B48" s="5" t="s">
        <v>72</v>
      </c>
      <c r="C48" s="15" t="n">
        <v>2000</v>
      </c>
    </row>
    <row r="49" customFormat="false" ht="15" hidden="false" customHeight="false" outlineLevel="0" collapsed="false">
      <c r="B49" s="5" t="s">
        <v>73</v>
      </c>
      <c r="C49" s="22" t="n">
        <v>15</v>
      </c>
    </row>
    <row r="50" customFormat="false" ht="15" hidden="false" customHeight="false" outlineLevel="0" collapsed="false">
      <c r="B50" s="5" t="s">
        <v>74</v>
      </c>
      <c r="C50" s="15" t="n">
        <v>700</v>
      </c>
    </row>
    <row r="51" customFormat="false" ht="15" hidden="false" customHeight="false" outlineLevel="0" collapsed="false">
      <c r="B51" s="5" t="s">
        <v>75</v>
      </c>
      <c r="C51" s="25" t="n">
        <f aca="false">C32*C30</f>
        <v>3640</v>
      </c>
    </row>
    <row r="52" customFormat="false" ht="15" hidden="false" customHeight="false" outlineLevel="0" collapsed="false">
      <c r="B52" s="5" t="s">
        <v>76</v>
      </c>
      <c r="C52" s="15" t="n">
        <v>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1"/>
  </cols>
  <sheetData>
    <row r="2" customFormat="false" ht="17.35" hidden="false" customHeight="false" outlineLevel="0" collapsed="false">
      <c r="B2" s="11" t="s">
        <v>77</v>
      </c>
    </row>
    <row r="4" customFormat="false" ht="15" hidden="false" customHeight="false" outlineLevel="0" collapsed="false">
      <c r="B4" s="4" t="s">
        <v>78</v>
      </c>
    </row>
    <row r="5" customFormat="false" ht="15" hidden="false" customHeight="false" outlineLevel="0" collapsed="false">
      <c r="B5" s="26"/>
      <c r="C5" s="27" t="s">
        <v>79</v>
      </c>
      <c r="D5" s="27" t="s">
        <v>80</v>
      </c>
      <c r="E5" s="27" t="s">
        <v>81</v>
      </c>
      <c r="F5" s="27" t="s">
        <v>82</v>
      </c>
      <c r="G5" s="27" t="s">
        <v>83</v>
      </c>
    </row>
    <row r="6" customFormat="false" ht="15" hidden="false" customHeight="false" outlineLevel="0" collapsed="false">
      <c r="B6" s="5" t="s">
        <v>84</v>
      </c>
      <c r="C6" s="28" t="n">
        <v>33498</v>
      </c>
      <c r="D6" s="28" t="n">
        <v>38654</v>
      </c>
      <c r="E6" s="28" t="n">
        <v>43279</v>
      </c>
      <c r="F6" s="28" t="n">
        <v>48497</v>
      </c>
      <c r="G6" s="28" t="n">
        <v>52041</v>
      </c>
    </row>
    <row r="7" customFormat="false" ht="15" hidden="false" customHeight="false" outlineLevel="0" collapsed="false">
      <c r="B7" s="5" t="s">
        <v>85</v>
      </c>
      <c r="C7" s="28" t="n">
        <v>8040</v>
      </c>
      <c r="D7" s="28" t="n">
        <v>9664</v>
      </c>
      <c r="E7" s="28" t="n">
        <v>11647</v>
      </c>
      <c r="F7" s="28" t="n">
        <v>13337</v>
      </c>
      <c r="G7" s="28" t="n">
        <v>15092</v>
      </c>
    </row>
    <row r="8" customFormat="false" ht="15" hidden="false" customHeight="false" outlineLevel="0" collapsed="false">
      <c r="B8" s="0" t="s">
        <v>34</v>
      </c>
      <c r="C8" s="19" t="n">
        <f aca="false">C7/C6</f>
        <v>0.240014329213684</v>
      </c>
      <c r="D8" s="19" t="n">
        <f aca="false">D7/D6</f>
        <v>0.250012935271899</v>
      </c>
      <c r="E8" s="19" t="n">
        <f aca="false">E7/E6</f>
        <v>0.269114351070958</v>
      </c>
      <c r="F8" s="19" t="n">
        <f aca="false">F7/F6</f>
        <v>0.27500670144545</v>
      </c>
      <c r="G8" s="19" t="n">
        <f aca="false">G7/G6</f>
        <v>0.29000211371803</v>
      </c>
    </row>
    <row r="9" customFormat="false" ht="15" hidden="false" customHeight="false" outlineLevel="0" collapsed="false">
      <c r="B9" s="5" t="s">
        <v>86</v>
      </c>
      <c r="C9" s="28" t="n">
        <v>2904</v>
      </c>
      <c r="D9" s="28" t="n">
        <v>3273</v>
      </c>
      <c r="E9" s="28" t="n">
        <v>8474</v>
      </c>
      <c r="F9" s="28" t="n">
        <v>9576</v>
      </c>
      <c r="G9" s="28" t="n">
        <v>10929</v>
      </c>
    </row>
    <row r="10" customFormat="false" ht="15" hidden="false" customHeight="false" outlineLevel="0" collapsed="false">
      <c r="B10" s="0" t="s">
        <v>87</v>
      </c>
      <c r="C10" s="19" t="n">
        <f aca="false">C9/C6</f>
        <v>0.0866917427906144</v>
      </c>
      <c r="D10" s="19" t="n">
        <f aca="false">D9/D6</f>
        <v>0.0846742898535727</v>
      </c>
      <c r="E10" s="19" t="n">
        <f aca="false">E9/E6</f>
        <v>0.19579934841378</v>
      </c>
      <c r="F10" s="19" t="n">
        <f aca="false">F9/F6</f>
        <v>0.197455512712127</v>
      </c>
      <c r="G10" s="19" t="n">
        <f aca="false">G9/G6</f>
        <v>0.210007494091197</v>
      </c>
    </row>
    <row r="12" customFormat="false" ht="15" hidden="false" customHeight="false" outlineLevel="0" collapsed="false">
      <c r="B12" s="4" t="s">
        <v>88</v>
      </c>
    </row>
    <row r="13" customFormat="false" ht="15" hidden="false" customHeight="false" outlineLevel="0" collapsed="false">
      <c r="B13" s="26"/>
      <c r="C13" s="27" t="s">
        <v>89</v>
      </c>
      <c r="D13" s="27" t="s">
        <v>90</v>
      </c>
      <c r="E13" s="27" t="s">
        <v>91</v>
      </c>
      <c r="F13" s="27" t="s">
        <v>92</v>
      </c>
      <c r="G13" s="27" t="s">
        <v>93</v>
      </c>
    </row>
    <row r="14" customFormat="false" ht="15" hidden="false" customHeight="false" outlineLevel="0" collapsed="false">
      <c r="B14" s="5" t="s">
        <v>84</v>
      </c>
      <c r="C14" s="15" t="n">
        <v>6304</v>
      </c>
      <c r="D14" s="15" t="n">
        <v>6174</v>
      </c>
      <c r="E14" s="15" t="n">
        <v>6263</v>
      </c>
      <c r="F14" s="15" t="n">
        <v>6403</v>
      </c>
      <c r="G14" s="15" t="n">
        <v>6216</v>
      </c>
    </row>
    <row r="15" customFormat="false" ht="15" hidden="false" customHeight="false" outlineLevel="0" collapsed="false">
      <c r="B15" s="5" t="s">
        <v>94</v>
      </c>
      <c r="C15" s="15" t="n">
        <v>2270</v>
      </c>
      <c r="D15" s="15" t="n">
        <v>2100</v>
      </c>
      <c r="E15" s="15" t="n">
        <v>1900</v>
      </c>
      <c r="F15" s="15" t="n">
        <v>1960</v>
      </c>
      <c r="G15" s="15" t="n">
        <v>1910</v>
      </c>
    </row>
    <row r="16" customFormat="false" ht="15" hidden="false" customHeight="false" outlineLevel="0" collapsed="false">
      <c r="B16" s="0" t="s">
        <v>95</v>
      </c>
      <c r="C16" s="19" t="n">
        <f aca="false">C15/C14</f>
        <v>0.36008883248731</v>
      </c>
      <c r="D16" s="19" t="n">
        <f aca="false">D15/D14</f>
        <v>0.340136054421769</v>
      </c>
      <c r="E16" s="19" t="n">
        <f aca="false">E15/E14</f>
        <v>0.303368992495609</v>
      </c>
      <c r="F16" s="19" t="n">
        <f aca="false">F15/F14</f>
        <v>0.306106512572232</v>
      </c>
      <c r="G16" s="19" t="n">
        <f aca="false">G15/G14</f>
        <v>0.307271557271557</v>
      </c>
    </row>
    <row r="17" customFormat="false" ht="15" hidden="false" customHeight="false" outlineLevel="0" collapsed="false">
      <c r="B17" s="5" t="s">
        <v>96</v>
      </c>
      <c r="C17" s="15" t="n">
        <v>9134</v>
      </c>
      <c r="D17" s="15" t="n">
        <v>8913</v>
      </c>
      <c r="E17" s="15" t="n">
        <v>8900</v>
      </c>
      <c r="F17" s="15" t="n">
        <v>8880</v>
      </c>
      <c r="G17" s="15" t="n">
        <v>8640</v>
      </c>
    </row>
    <row r="18" customFormat="false" ht="15" hidden="false" customHeight="false" outlineLevel="0" collapsed="false">
      <c r="B18" s="5" t="s">
        <v>97</v>
      </c>
      <c r="C18" s="15" t="n">
        <v>737</v>
      </c>
      <c r="D18" s="15" t="n">
        <v>706</v>
      </c>
      <c r="E18" s="15" t="n">
        <v>650</v>
      </c>
      <c r="F18" s="15" t="n">
        <v>690</v>
      </c>
      <c r="G18" s="15" t="n">
        <v>574</v>
      </c>
    </row>
    <row r="19" customFormat="false" ht="15" hidden="false" customHeight="false" outlineLevel="0" collapsed="false">
      <c r="B19" s="0" t="s">
        <v>56</v>
      </c>
      <c r="C19" s="25" t="n">
        <f aca="false">C17-C18</f>
        <v>8397</v>
      </c>
      <c r="D19" s="25" t="n">
        <f aca="false">D17-D18</f>
        <v>8207</v>
      </c>
      <c r="E19" s="25" t="n">
        <f aca="false">E17-E18</f>
        <v>8250</v>
      </c>
      <c r="F19" s="25" t="n">
        <f aca="false">F17-F18</f>
        <v>8190</v>
      </c>
      <c r="G19" s="25" t="n">
        <f aca="false">G17-G18</f>
        <v>8066</v>
      </c>
    </row>
    <row r="20" customFormat="false" ht="15" hidden="false" customHeight="false" outlineLevel="0" collapsed="false">
      <c r="B20" s="0" t="s">
        <v>98</v>
      </c>
      <c r="C20" s="29" t="n">
        <f aca="false">C19/C15</f>
        <v>3.69911894273128</v>
      </c>
      <c r="D20" s="29" t="n">
        <f aca="false">D19/D15</f>
        <v>3.90809523809524</v>
      </c>
      <c r="E20" s="29" t="n">
        <f aca="false">E19/E15</f>
        <v>4.3421052631579</v>
      </c>
      <c r="F20" s="29" t="n">
        <f aca="false">F19/F15</f>
        <v>4.17857142857143</v>
      </c>
      <c r="G20" s="29" t="n">
        <f aca="false">G19/G15</f>
        <v>4.22303664921466</v>
      </c>
    </row>
    <row r="22" customFormat="false" ht="15" hidden="false" customHeight="false" outlineLevel="0" collapsed="false">
      <c r="B22" s="1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1" t="s">
        <v>100</v>
      </c>
    </row>
    <row r="3" customFormat="false" ht="15" hidden="false" customHeight="false" outlineLevel="0" collapsed="false">
      <c r="B3" s="26" t="s">
        <v>101</v>
      </c>
      <c r="C3" s="27" t="s">
        <v>102</v>
      </c>
      <c r="D3" s="27" t="s">
        <v>103</v>
      </c>
      <c r="E3" s="27" t="s">
        <v>104</v>
      </c>
      <c r="F3" s="27" t="s">
        <v>105</v>
      </c>
      <c r="G3" s="27" t="s">
        <v>106</v>
      </c>
    </row>
    <row r="4" customFormat="false" ht="15" hidden="false" customHeight="false" outlineLevel="0" collapsed="false">
      <c r="B4" s="30" t="s">
        <v>107</v>
      </c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</row>
    <row r="5" customFormat="false" ht="15" hidden="false" customHeight="false" outlineLevel="0" collapsed="false">
      <c r="B5" s="5" t="s">
        <v>84</v>
      </c>
      <c r="C5" s="25" t="n">
        <f aca="false">Assumptions!$C$6*(1+Assumptions!C14)</f>
        <v>6091.68</v>
      </c>
      <c r="D5" s="25" t="n">
        <f aca="false">C5*(1+Assumptions!D14)</f>
        <v>6030.7632</v>
      </c>
      <c r="E5" s="25" t="n">
        <f aca="false">D5*(1+Assumptions!E14)</f>
        <v>6030.7632</v>
      </c>
      <c r="F5" s="25" t="n">
        <f aca="false">E5*(1+Assumptions!F14)</f>
        <v>6091.070832</v>
      </c>
      <c r="G5" s="25" t="n">
        <f aca="false">F5*(1+Assumptions!G14)</f>
        <v>6151.98154032</v>
      </c>
    </row>
    <row r="6" customFormat="false" ht="15" hidden="false" customHeight="false" outlineLevel="0" collapsed="false">
      <c r="B6" s="5" t="s">
        <v>85</v>
      </c>
      <c r="C6" s="25" t="n">
        <f aca="false">C5*Assumptions!$C$7</f>
        <v>1827.504</v>
      </c>
      <c r="D6" s="25" t="n">
        <f aca="false">D5*Assumptions!$C$7</f>
        <v>1809.22896</v>
      </c>
      <c r="E6" s="25" t="n">
        <f aca="false">E5*Assumptions!$C$7</f>
        <v>1809.22896</v>
      </c>
      <c r="F6" s="25" t="n">
        <f aca="false">F5*Assumptions!$C$7</f>
        <v>1827.3212496</v>
      </c>
      <c r="G6" s="25" t="n">
        <f aca="false">G5*Assumptions!$C$7</f>
        <v>1845.594462096</v>
      </c>
    </row>
    <row r="7" customFormat="false" ht="15" hidden="false" customHeight="false" outlineLevel="0" collapsed="false">
      <c r="B7" s="5" t="s">
        <v>108</v>
      </c>
      <c r="C7" s="25" t="n">
        <f aca="false">-Assumptions!$C$8</f>
        <v>-300</v>
      </c>
      <c r="D7" s="25" t="n">
        <f aca="false">-Assumptions!$C$8</f>
        <v>-300</v>
      </c>
      <c r="E7" s="25" t="n">
        <f aca="false">-Assumptions!$C$8</f>
        <v>-300</v>
      </c>
      <c r="F7" s="25" t="n">
        <f aca="false">-Assumptions!$C$8</f>
        <v>-300</v>
      </c>
      <c r="G7" s="25" t="n">
        <f aca="false">-Assumptions!$C$8</f>
        <v>-300</v>
      </c>
    </row>
    <row r="8" customFormat="false" ht="15" hidden="false" customHeight="false" outlineLevel="0" collapsed="false">
      <c r="B8" s="5" t="s">
        <v>109</v>
      </c>
      <c r="C8" s="25" t="n">
        <f aca="false">C6+C7</f>
        <v>1527.504</v>
      </c>
      <c r="D8" s="25" t="n">
        <f aca="false">D6+D7</f>
        <v>1509.22896</v>
      </c>
      <c r="E8" s="25" t="n">
        <f aca="false">E6+E7</f>
        <v>1509.22896</v>
      </c>
      <c r="F8" s="25" t="n">
        <f aca="false">F6+F7</f>
        <v>1527.3212496</v>
      </c>
      <c r="G8" s="25" t="n">
        <f aca="false">G6+G7</f>
        <v>1545.594462096</v>
      </c>
    </row>
    <row r="9" customFormat="false" ht="15" hidden="false" customHeight="false" outlineLevel="0" collapsed="false">
      <c r="B9" s="5" t="s">
        <v>110</v>
      </c>
      <c r="C9" s="25" t="n">
        <f aca="false">C8*(1-Assumptions!$C$11)</f>
        <v>1237.27824</v>
      </c>
      <c r="D9" s="25" t="n">
        <f aca="false">D8*(1-Assumptions!$C$11)</f>
        <v>1222.4754576</v>
      </c>
      <c r="E9" s="25" t="n">
        <f aca="false">E8*(1-Assumptions!$C$11)</f>
        <v>1222.4754576</v>
      </c>
      <c r="F9" s="25" t="n">
        <f aca="false">F8*(1-Assumptions!$C$11)</f>
        <v>1237.130212176</v>
      </c>
      <c r="G9" s="25" t="n">
        <f aca="false">G8*(1-Assumptions!$C$11)</f>
        <v>1251.93151429776</v>
      </c>
    </row>
    <row r="10" customFormat="false" ht="15" hidden="false" customHeight="false" outlineLevel="0" collapsed="false">
      <c r="B10" s="5" t="s">
        <v>111</v>
      </c>
      <c r="C10" s="25" t="n">
        <f aca="false">Assumptions!$C$8</f>
        <v>300</v>
      </c>
      <c r="D10" s="25" t="n">
        <f aca="false">Assumptions!$C$8</f>
        <v>300</v>
      </c>
      <c r="E10" s="25" t="n">
        <f aca="false">Assumptions!$C$8</f>
        <v>300</v>
      </c>
      <c r="F10" s="25" t="n">
        <f aca="false">Assumptions!$C$8</f>
        <v>300</v>
      </c>
      <c r="G10" s="25" t="n">
        <f aca="false">Assumptions!$C$8</f>
        <v>300</v>
      </c>
    </row>
    <row r="11" customFormat="false" ht="15" hidden="false" customHeight="false" outlineLevel="0" collapsed="false">
      <c r="B11" s="5" t="s">
        <v>112</v>
      </c>
      <c r="C11" s="25" t="n">
        <f aca="false">-Assumptions!$C$9</f>
        <v>-160</v>
      </c>
      <c r="D11" s="25" t="n">
        <f aca="false">-Assumptions!$C$9</f>
        <v>-160</v>
      </c>
      <c r="E11" s="25" t="n">
        <f aca="false">-Assumptions!$C$9</f>
        <v>-160</v>
      </c>
      <c r="F11" s="25" t="n">
        <f aca="false">-Assumptions!$C$9</f>
        <v>-160</v>
      </c>
      <c r="G11" s="25" t="n">
        <f aca="false">-Assumptions!$C$9</f>
        <v>-160</v>
      </c>
    </row>
    <row r="12" customFormat="false" ht="15" hidden="false" customHeight="false" outlineLevel="0" collapsed="false">
      <c r="B12" s="5" t="s">
        <v>113</v>
      </c>
      <c r="C12" s="25" t="n">
        <f aca="false">-Assumptions!$C$10</f>
        <v>-40</v>
      </c>
      <c r="D12" s="25" t="n">
        <f aca="false">-Assumptions!$C$10</f>
        <v>-40</v>
      </c>
      <c r="E12" s="25" t="n">
        <f aca="false">-Assumptions!$C$10</f>
        <v>-40</v>
      </c>
      <c r="F12" s="25" t="n">
        <f aca="false">-Assumptions!$C$10</f>
        <v>-40</v>
      </c>
      <c r="G12" s="25" t="n">
        <f aca="false">-Assumptions!$C$10</f>
        <v>-40</v>
      </c>
    </row>
    <row r="13" customFormat="false" ht="15" hidden="false" customHeight="false" outlineLevel="0" collapsed="false">
      <c r="B13" s="20" t="s">
        <v>114</v>
      </c>
      <c r="C13" s="25" t="n">
        <f aca="false">C9+C10+C11+C12</f>
        <v>1337.27824</v>
      </c>
      <c r="D13" s="25" t="n">
        <f aca="false">D9+D10+D11+D12</f>
        <v>1322.4754576</v>
      </c>
      <c r="E13" s="25" t="n">
        <f aca="false">E9+E10+E11+E12</f>
        <v>1322.4754576</v>
      </c>
      <c r="F13" s="25" t="n">
        <f aca="false">F9+F10+F11+F12</f>
        <v>1337.130212176</v>
      </c>
      <c r="G13" s="25" t="n">
        <f aca="false">G9+G10+G11+G12</f>
        <v>1351.93151429776</v>
      </c>
    </row>
    <row r="14" customFormat="false" ht="15" hidden="false" customHeight="false" outlineLevel="0" collapsed="false">
      <c r="B14" s="5" t="s">
        <v>115</v>
      </c>
      <c r="C14" s="32" t="n">
        <f aca="false">1/(1+Assumptions!$C$27)^C4</f>
        <v>0.917403838876364</v>
      </c>
      <c r="D14" s="32" t="n">
        <f aca="false">1/(1+Assumptions!$C$27)^D4</f>
        <v>0.841629803585089</v>
      </c>
      <c r="E14" s="32" t="n">
        <f aca="false">1/(1+Assumptions!$C$27)^E4</f>
        <v>0.772114412721721</v>
      </c>
      <c r="F14" s="32" t="n">
        <f aca="false">1/(1+Assumptions!$C$27)^F4</f>
        <v>0.708340726282676</v>
      </c>
      <c r="G14" s="32" t="n">
        <f aca="false">1/(1+Assumptions!$C$27)^G4</f>
        <v>0.649834501524199</v>
      </c>
    </row>
    <row r="15" customFormat="false" ht="15" hidden="false" customHeight="false" outlineLevel="0" collapsed="false">
      <c r="B15" s="5" t="s">
        <v>116</v>
      </c>
      <c r="C15" s="25" t="n">
        <f aca="false">C13*C14</f>
        <v>1226.82419102183</v>
      </c>
      <c r="D15" s="25" t="n">
        <f aca="false">D13*D14</f>
        <v>1113.03475962599</v>
      </c>
      <c r="E15" s="25" t="n">
        <f aca="false">E13*E14</f>
        <v>1021.10236128371</v>
      </c>
      <c r="F15" s="25" t="n">
        <f aca="false">F13*F14</f>
        <v>947.143785627257</v>
      </c>
      <c r="G15" s="25" t="n">
        <f aca="false">G13*G14</f>
        <v>878.53174168854</v>
      </c>
    </row>
    <row r="17" customFormat="false" ht="15" hidden="false" customHeight="false" outlineLevel="0" collapsed="false">
      <c r="B17" s="4" t="s">
        <v>117</v>
      </c>
    </row>
    <row r="18" customFormat="false" ht="15" hidden="false" customHeight="false" outlineLevel="0" collapsed="false">
      <c r="B18" s="5" t="s">
        <v>118</v>
      </c>
      <c r="C18" s="25" t="n">
        <f aca="false">SUM(C15:G15)</f>
        <v>5186.63683924733</v>
      </c>
    </row>
    <row r="19" customFormat="false" ht="15" hidden="false" customHeight="false" outlineLevel="0" collapsed="false">
      <c r="B19" s="5" t="s">
        <v>119</v>
      </c>
      <c r="C19" s="25" t="n">
        <f aca="false">Assumptions!$C$12*G6</f>
        <v>11073.566772576</v>
      </c>
    </row>
    <row r="20" customFormat="false" ht="15" hidden="false" customHeight="false" outlineLevel="0" collapsed="false">
      <c r="B20" s="5" t="s">
        <v>120</v>
      </c>
      <c r="C20" s="25" t="n">
        <f aca="false">C19*G14</f>
        <v>7195.98574375185</v>
      </c>
    </row>
    <row r="21" customFormat="false" ht="15" hidden="false" customHeight="false" outlineLevel="0" collapsed="false">
      <c r="B21" s="20" t="s">
        <v>121</v>
      </c>
      <c r="C21" s="33" t="n">
        <f aca="false">C18+C20</f>
        <v>12382.6225829992</v>
      </c>
    </row>
    <row r="22" customFormat="false" ht="15" hidden="false" customHeight="false" outlineLevel="0" collapsed="false">
      <c r="B22" s="5" t="s">
        <v>122</v>
      </c>
      <c r="C22" s="25" t="n">
        <f aca="false">-Assumptions!$C$31</f>
        <v>-8100</v>
      </c>
    </row>
    <row r="23" customFormat="false" ht="15" hidden="false" customHeight="false" outlineLevel="0" collapsed="false">
      <c r="B23" s="20" t="s">
        <v>123</v>
      </c>
      <c r="C23" s="33" t="n">
        <f aca="false">C21+C22</f>
        <v>4282.62258299918</v>
      </c>
    </row>
    <row r="24" customFormat="false" ht="15" hidden="false" customHeight="false" outlineLevel="0" collapsed="false">
      <c r="B24" s="5" t="s">
        <v>124</v>
      </c>
      <c r="C24" s="34" t="n">
        <f aca="false">Assumptions!$C$30</f>
        <v>260</v>
      </c>
    </row>
    <row r="25" customFormat="false" ht="15" hidden="false" customHeight="false" outlineLevel="0" collapsed="false">
      <c r="B25" s="20" t="s">
        <v>125</v>
      </c>
      <c r="C25" s="35" t="n">
        <f aca="false">C23/C24</f>
        <v>16.4716253192276</v>
      </c>
    </row>
    <row r="26" customFormat="false" ht="15" hidden="false" customHeight="false" outlineLevel="0" collapsed="false">
      <c r="B26" s="5" t="s">
        <v>57</v>
      </c>
      <c r="C26" s="7" t="n">
        <f aca="false">Assumptions!$C$32</f>
        <v>14</v>
      </c>
    </row>
    <row r="27" customFormat="false" ht="15" hidden="false" customHeight="false" outlineLevel="0" collapsed="false">
      <c r="B27" s="5" t="s">
        <v>7</v>
      </c>
      <c r="C27" s="19" t="n">
        <f aca="false">C25/C26-1</f>
        <v>0.176544665659115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1"/>
  </cols>
  <sheetData>
    <row r="2" customFormat="false" ht="17.35" hidden="false" customHeight="false" outlineLevel="0" collapsed="false">
      <c r="B2" s="11" t="s">
        <v>126</v>
      </c>
    </row>
    <row r="4" customFormat="false" ht="15" hidden="false" customHeight="false" outlineLevel="0" collapsed="false">
      <c r="B4" s="36" t="s">
        <v>127</v>
      </c>
      <c r="C4" s="37" t="n">
        <v>0.08</v>
      </c>
      <c r="D4" s="37" t="n">
        <v>0.085</v>
      </c>
      <c r="E4" s="37" t="n">
        <v>0.09</v>
      </c>
      <c r="F4" s="37" t="n">
        <v>0.095</v>
      </c>
      <c r="G4" s="37" t="n">
        <v>0.1</v>
      </c>
    </row>
    <row r="5" customFormat="false" ht="15" hidden="false" customHeight="false" outlineLevel="0" collapsed="false">
      <c r="B5" s="38" t="n">
        <v>5</v>
      </c>
      <c r="C5" s="39" t="n">
        <f aca="false">(SUMPRODUCT(DCF!$C$13:$G$13,(1+C$4)^(-DCF!$C$4:$G$4))+$B5*DCF!$G$6*(1+C$4)^(-5)-Assumptions!$C$31)/Assumptions!$C$30</f>
        <v>13.481496884202</v>
      </c>
      <c r="D5" s="39" t="n">
        <f aca="false">(SUMPRODUCT(DCF!$C$13:$G$13,(1+D$4)^(-DCF!$C$4:$G$4))+$B5*DCF!$G$6*(1+D$4)^(-5)-Assumptions!$C$31)/Assumptions!$C$30</f>
        <v>12.6624246734063</v>
      </c>
      <c r="E5" s="39" t="n">
        <f aca="false">(SUMPRODUCT(DCF!$C$13:$G$13,(1+E$4)^(-DCF!$C$4:$G$4))+$B5*DCF!$G$6*(1+E$4)^(-5)-Assumptions!$C$31)/Assumptions!$C$30</f>
        <v>11.8639381483019</v>
      </c>
      <c r="F5" s="39" t="n">
        <f aca="false">(SUMPRODUCT(DCF!$C$13:$G$13,(1+F$4)^(-DCF!$C$4:$G$4))+$B5*DCF!$G$6*(1+F$4)^(-5)-Assumptions!$C$31)/Assumptions!$C$30</f>
        <v>11.0854124460874</v>
      </c>
      <c r="G5" s="39" t="n">
        <f aca="false">(SUMPRODUCT(DCF!$C$13:$G$13,(1+G$4)^(-DCF!$C$4:$G$4))+$B5*DCF!$G$6*(1+G$4)^(-5)-Assumptions!$C$31)/Assumptions!$C$30</f>
        <v>10.3262446418477</v>
      </c>
    </row>
    <row r="6" customFormat="false" ht="15" hidden="false" customHeight="false" outlineLevel="0" collapsed="false">
      <c r="B6" s="38" t="n">
        <v>5.5</v>
      </c>
      <c r="C6" s="39" t="n">
        <f aca="false">(SUMPRODUCT(DCF!$C$13:$G$13,(1+C$4)^(-DCF!$C$4:$G$4))+$B6*DCF!$G$6*(1+C$4)^(-5)-Assumptions!$C$31)/Assumptions!$C$30</f>
        <v>15.8970364600502</v>
      </c>
      <c r="D6" s="39" t="n">
        <f aca="false">(SUMPRODUCT(DCF!$C$13:$G$13,(1+D$4)^(-DCF!$C$4:$G$4))+$B6*DCF!$G$6*(1+D$4)^(-5)-Assumptions!$C$31)/Assumptions!$C$30</f>
        <v>15.0228172700668</v>
      </c>
      <c r="E6" s="39" t="n">
        <f aca="false">(SUMPRODUCT(DCF!$C$13:$G$13,(1+E$4)^(-DCF!$C$4:$G$4))+$B6*DCF!$G$6*(1+E$4)^(-5)-Assumptions!$C$31)/Assumptions!$C$30</f>
        <v>14.1706877007915</v>
      </c>
      <c r="F6" s="39" t="n">
        <f aca="false">(SUMPRODUCT(DCF!$C$13:$G$13,(1+F$4)^(-DCF!$C$4:$G$4))+$B6*DCF!$G$6*(1+F$4)^(-5)-Assumptions!$C$31)/Assumptions!$C$30</f>
        <v>13.3399752561151</v>
      </c>
      <c r="G6" s="39" t="n">
        <f aca="false">(SUMPRODUCT(DCF!$C$13:$G$13,(1+G$4)^(-DCF!$C$4:$G$4))+$B6*DCF!$G$6*(1+G$4)^(-5)-Assumptions!$C$31)/Assumptions!$C$30</f>
        <v>12.5300310942233</v>
      </c>
    </row>
    <row r="7" customFormat="false" ht="15" hidden="false" customHeight="false" outlineLevel="0" collapsed="false">
      <c r="B7" s="38" t="n">
        <v>6</v>
      </c>
      <c r="C7" s="39" t="n">
        <f aca="false">(SUMPRODUCT(DCF!$C$13:$G$13,(1+C$4)^(-DCF!$C$4:$G$4))+$B7*DCF!$G$6*(1+C$4)^(-5)-Assumptions!$C$31)/Assumptions!$C$30</f>
        <v>18.3125760358985</v>
      </c>
      <c r="D7" s="39" t="n">
        <f aca="false">(SUMPRODUCT(DCF!$C$13:$G$13,(1+D$4)^(-DCF!$C$4:$G$4))+$B7*DCF!$G$6*(1+D$4)^(-5)-Assumptions!$C$31)/Assumptions!$C$30</f>
        <v>17.3832098667272</v>
      </c>
      <c r="E7" s="39" t="n">
        <f aca="false">(SUMPRODUCT(DCF!$C$13:$G$13,(1+E$4)^(-DCF!$C$4:$G$4))+$B7*DCF!$G$6*(1+E$4)^(-5)-Assumptions!$C$31)/Assumptions!$C$30</f>
        <v>16.4774372532811</v>
      </c>
      <c r="F7" s="39" t="n">
        <f aca="false">(SUMPRODUCT(DCF!$C$13:$G$13,(1+F$4)^(-DCF!$C$4:$G$4))+$B7*DCF!$G$6*(1+F$4)^(-5)-Assumptions!$C$31)/Assumptions!$C$30</f>
        <v>15.5945380661427</v>
      </c>
      <c r="G7" s="39" t="n">
        <f aca="false">(SUMPRODUCT(DCF!$C$13:$G$13,(1+G$4)^(-DCF!$C$4:$G$4))+$B7*DCF!$G$6*(1+G$4)^(-5)-Assumptions!$C$31)/Assumptions!$C$30</f>
        <v>14.7338175465988</v>
      </c>
    </row>
    <row r="8" customFormat="false" ht="15" hidden="false" customHeight="false" outlineLevel="0" collapsed="false">
      <c r="B8" s="38" t="n">
        <v>6.5</v>
      </c>
      <c r="C8" s="39" t="n">
        <f aca="false">(SUMPRODUCT(DCF!$C$13:$G$13,(1+C$4)^(-DCF!$C$4:$G$4))+$B8*DCF!$G$6*(1+C$4)^(-5)-Assumptions!$C$31)/Assumptions!$C$30</f>
        <v>20.7281156117467</v>
      </c>
      <c r="D8" s="39" t="n">
        <f aca="false">(SUMPRODUCT(DCF!$C$13:$G$13,(1+D$4)^(-DCF!$C$4:$G$4))+$B8*DCF!$G$6*(1+D$4)^(-5)-Assumptions!$C$31)/Assumptions!$C$30</f>
        <v>19.7436024633876</v>
      </c>
      <c r="E8" s="39" t="n">
        <f aca="false">(SUMPRODUCT(DCF!$C$13:$G$13,(1+E$4)^(-DCF!$C$4:$G$4))+$B8*DCF!$G$6*(1+E$4)^(-5)-Assumptions!$C$31)/Assumptions!$C$30</f>
        <v>18.7841868057707</v>
      </c>
      <c r="F8" s="39" t="n">
        <f aca="false">(SUMPRODUCT(DCF!$C$13:$G$13,(1+F$4)^(-DCF!$C$4:$G$4))+$B8*DCF!$G$6*(1+F$4)^(-5)-Assumptions!$C$31)/Assumptions!$C$30</f>
        <v>17.8491008761703</v>
      </c>
      <c r="G8" s="39" t="n">
        <f aca="false">(SUMPRODUCT(DCF!$C$13:$G$13,(1+G$4)^(-DCF!$C$4:$G$4))+$B8*DCF!$G$6*(1+G$4)^(-5)-Assumptions!$C$31)/Assumptions!$C$30</f>
        <v>16.9376039989744</v>
      </c>
    </row>
    <row r="9" customFormat="false" ht="15" hidden="false" customHeight="false" outlineLevel="0" collapsed="false">
      <c r="B9" s="38" t="n">
        <v>7</v>
      </c>
      <c r="C9" s="39" t="n">
        <f aca="false">(SUMPRODUCT(DCF!$C$13:$G$13,(1+C$4)^(-DCF!$C$4:$G$4))+$B9*DCF!$G$6*(1+C$4)^(-5)-Assumptions!$C$31)/Assumptions!$C$30</f>
        <v>23.1436551875949</v>
      </c>
      <c r="D9" s="39" t="n">
        <f aca="false">(SUMPRODUCT(DCF!$C$13:$G$13,(1+D$4)^(-DCF!$C$4:$G$4))+$B9*DCF!$G$6*(1+D$4)^(-5)-Assumptions!$C$31)/Assumptions!$C$30</f>
        <v>22.1039950600481</v>
      </c>
      <c r="E9" s="39" t="n">
        <f aca="false">(SUMPRODUCT(DCF!$C$13:$G$13,(1+E$4)^(-DCF!$C$4:$G$4))+$B9*DCF!$G$6*(1+E$4)^(-5)-Assumptions!$C$31)/Assumptions!$C$30</f>
        <v>21.0909363582603</v>
      </c>
      <c r="F9" s="39" t="n">
        <f aca="false">(SUMPRODUCT(DCF!$C$13:$G$13,(1+F$4)^(-DCF!$C$4:$G$4))+$B9*DCF!$G$6*(1+F$4)^(-5)-Assumptions!$C$31)/Assumptions!$C$30</f>
        <v>20.103663686198</v>
      </c>
      <c r="G9" s="39" t="n">
        <f aca="false">(SUMPRODUCT(DCF!$C$13:$G$13,(1+G$4)^(-DCF!$C$4:$G$4))+$B9*DCF!$G$6*(1+G$4)^(-5)-Assumptions!$C$31)/Assumptions!$C$30</f>
        <v>19.14139045135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1" t="s">
        <v>128</v>
      </c>
    </row>
    <row r="4" customFormat="false" ht="15" hidden="false" customHeight="false" outlineLevel="0" collapsed="false">
      <c r="B4" s="0" t="s">
        <v>129</v>
      </c>
      <c r="C4" s="6" t="n">
        <f aca="false">Assumptions!C41</f>
        <v>1910</v>
      </c>
    </row>
    <row r="6" customFormat="false" ht="15" hidden="false" customHeight="false" outlineLevel="0" collapsed="false">
      <c r="B6" s="26" t="s">
        <v>130</v>
      </c>
      <c r="C6" s="27" t="s">
        <v>131</v>
      </c>
    </row>
    <row r="7" customFormat="false" ht="15" hidden="false" customHeight="false" outlineLevel="0" collapsed="false">
      <c r="B7" s="5" t="s">
        <v>132</v>
      </c>
      <c r="C7" s="17" t="n">
        <v>6</v>
      </c>
    </row>
    <row r="8" customFormat="false" ht="15" hidden="false" customHeight="false" outlineLevel="0" collapsed="false">
      <c r="B8" s="5" t="s">
        <v>133</v>
      </c>
      <c r="C8" s="17" t="n">
        <v>7.2</v>
      </c>
    </row>
    <row r="9" customFormat="false" ht="15" hidden="false" customHeight="false" outlineLevel="0" collapsed="false">
      <c r="B9" s="5" t="s">
        <v>134</v>
      </c>
      <c r="C9" s="17" t="n">
        <v>7.8</v>
      </c>
    </row>
    <row r="10" customFormat="false" ht="15" hidden="false" customHeight="false" outlineLevel="0" collapsed="false">
      <c r="B10" s="5" t="s">
        <v>135</v>
      </c>
      <c r="C10" s="17" t="n">
        <v>11</v>
      </c>
    </row>
    <row r="11" customFormat="false" ht="15" hidden="false" customHeight="false" outlineLevel="0" collapsed="false">
      <c r="B11" s="5" t="s">
        <v>136</v>
      </c>
      <c r="C11" s="17" t="n">
        <v>12.5</v>
      </c>
    </row>
    <row r="13" customFormat="false" ht="15" hidden="false" customHeight="false" outlineLevel="0" collapsed="false">
      <c r="B13" s="0" t="s">
        <v>137</v>
      </c>
      <c r="C13" s="17" t="n">
        <v>6</v>
      </c>
    </row>
    <row r="14" customFormat="false" ht="15" hidden="false" customHeight="false" outlineLevel="0" collapsed="false">
      <c r="B14" s="0" t="s">
        <v>138</v>
      </c>
      <c r="C14" s="17" t="n">
        <v>7.5</v>
      </c>
    </row>
    <row r="15" customFormat="false" ht="15" hidden="false" customHeight="false" outlineLevel="0" collapsed="false">
      <c r="B15" s="0" t="s">
        <v>139</v>
      </c>
      <c r="C15" s="39" t="n">
        <f aca="false">(C13*C4-Assumptions!$C$31)/Assumptions!$C$30</f>
        <v>12.9230769230769</v>
      </c>
    </row>
    <row r="16" customFormat="false" ht="15" hidden="false" customHeight="false" outlineLevel="0" collapsed="false">
      <c r="B16" s="0" t="s">
        <v>140</v>
      </c>
      <c r="C16" s="39" t="n">
        <f aca="false">(C14*C4-Assumptions!$C$31)/Assumptions!$C$30</f>
        <v>23.9423076923077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1" t="s">
        <v>141</v>
      </c>
    </row>
    <row r="4" customFormat="false" ht="15" hidden="false" customHeight="false" outlineLevel="0" collapsed="false">
      <c r="B4" s="0" t="s">
        <v>129</v>
      </c>
      <c r="C4" s="6" t="n">
        <f aca="false">'Trading Comps'!C4</f>
        <v>1910</v>
      </c>
    </row>
    <row r="6" customFormat="false" ht="15" hidden="false" customHeight="false" outlineLevel="0" collapsed="false">
      <c r="B6" s="26" t="s">
        <v>142</v>
      </c>
      <c r="C6" s="27" t="s">
        <v>131</v>
      </c>
    </row>
    <row r="7" customFormat="false" ht="15" hidden="false" customHeight="false" outlineLevel="0" collapsed="false">
      <c r="B7" s="5" t="s">
        <v>143</v>
      </c>
      <c r="C7" s="17" t="n">
        <v>5.5</v>
      </c>
    </row>
    <row r="8" customFormat="false" ht="15" hidden="false" customHeight="false" outlineLevel="0" collapsed="false">
      <c r="B8" s="5" t="s">
        <v>144</v>
      </c>
      <c r="C8" s="17" t="n">
        <v>8</v>
      </c>
    </row>
    <row r="9" customFormat="false" ht="15" hidden="false" customHeight="false" outlineLevel="0" collapsed="false">
      <c r="B9" s="5" t="s">
        <v>145</v>
      </c>
      <c r="C9" s="17" t="n">
        <v>10</v>
      </c>
    </row>
    <row r="11" customFormat="false" ht="15" hidden="false" customHeight="false" outlineLevel="0" collapsed="false">
      <c r="B11" s="0" t="s">
        <v>137</v>
      </c>
      <c r="C11" s="17" t="n">
        <v>7</v>
      </c>
    </row>
    <row r="12" customFormat="false" ht="15" hidden="false" customHeight="false" outlineLevel="0" collapsed="false">
      <c r="B12" s="0" t="s">
        <v>138</v>
      </c>
      <c r="C12" s="17" t="n">
        <v>9</v>
      </c>
    </row>
    <row r="13" customFormat="false" ht="15" hidden="false" customHeight="false" outlineLevel="0" collapsed="false">
      <c r="B13" s="0" t="s">
        <v>139</v>
      </c>
      <c r="C13" s="39" t="n">
        <f aca="false">(C11*C4-Assumptions!$C$31)/Assumptions!$C$30</f>
        <v>20.2692307692308</v>
      </c>
    </row>
    <row r="14" customFormat="false" ht="15" hidden="false" customHeight="false" outlineLevel="0" collapsed="false">
      <c r="B14" s="0" t="s">
        <v>140</v>
      </c>
      <c r="C14" s="39" t="n">
        <f aca="false">(C12*C4-Assumptions!$C$31)/Assumptions!$C$30</f>
        <v>34.9615384615385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11" t="s">
        <v>146</v>
      </c>
    </row>
    <row r="4" customFormat="false" ht="15" hidden="false" customHeight="false" outlineLevel="0" collapsed="false">
      <c r="B4" s="26" t="s">
        <v>147</v>
      </c>
      <c r="C4" s="26"/>
      <c r="D4" s="26" t="s">
        <v>148</v>
      </c>
      <c r="E4" s="26"/>
    </row>
    <row r="5" customFormat="false" ht="15" hidden="false" customHeight="false" outlineLevel="0" collapsed="false">
      <c r="B5" s="0" t="s">
        <v>66</v>
      </c>
      <c r="C5" s="6" t="n">
        <f aca="false">Assumptions!C42</f>
        <v>9500</v>
      </c>
      <c r="D5" s="0" t="s">
        <v>149</v>
      </c>
      <c r="E5" s="15" t="n">
        <v>8100</v>
      </c>
    </row>
    <row r="6" customFormat="false" ht="15" hidden="false" customHeight="false" outlineLevel="0" collapsed="false">
      <c r="B6" s="0" t="s">
        <v>150</v>
      </c>
      <c r="C6" s="25" t="n">
        <f aca="false">E8-C5-C7</f>
        <v>2240</v>
      </c>
      <c r="D6" s="0" t="s">
        <v>151</v>
      </c>
      <c r="E6" s="6" t="n">
        <f aca="false">Assumptions!C51</f>
        <v>3640</v>
      </c>
    </row>
    <row r="7" customFormat="false" ht="15" hidden="false" customHeight="false" outlineLevel="0" collapsed="false">
      <c r="B7" s="0" t="s">
        <v>152</v>
      </c>
      <c r="C7" s="15" t="n">
        <v>250</v>
      </c>
      <c r="D7" s="0" t="s">
        <v>153</v>
      </c>
      <c r="E7" s="15" t="n">
        <v>250</v>
      </c>
    </row>
    <row r="8" customFormat="false" ht="15" hidden="false" customHeight="false" outlineLevel="0" collapsed="false">
      <c r="B8" s="0" t="s">
        <v>154</v>
      </c>
      <c r="C8" s="33" t="n">
        <f aca="false">SUM(C5:C7)</f>
        <v>11990</v>
      </c>
      <c r="D8" s="0" t="s">
        <v>155</v>
      </c>
      <c r="E8" s="33" t="n">
        <f aca="false">SUM(E5:E7)</f>
        <v>11990</v>
      </c>
    </row>
    <row r="10" customFormat="false" ht="15" hidden="false" customHeight="false" outlineLevel="0" collapsed="false">
      <c r="B10" s="0" t="s">
        <v>156</v>
      </c>
      <c r="C10" s="33" t="n">
        <f aca="false">C8-E8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</cols>
  <sheetData>
    <row r="2" customFormat="false" ht="17.35" hidden="false" customHeight="false" outlineLevel="0" collapsed="false">
      <c r="B2" s="11" t="s">
        <v>157</v>
      </c>
    </row>
    <row r="4" customFormat="false" ht="15" hidden="false" customHeight="false" outlineLevel="0" collapsed="false">
      <c r="B4" s="5" t="s">
        <v>75</v>
      </c>
      <c r="C4" s="6" t="n">
        <f aca="false">Assumptions!C51</f>
        <v>3640</v>
      </c>
    </row>
    <row r="5" customFormat="false" ht="15" hidden="false" customHeight="false" outlineLevel="0" collapsed="false">
      <c r="B5" s="5" t="s">
        <v>158</v>
      </c>
      <c r="C5" s="6" t="n">
        <f aca="false">-Assumptions!C50</f>
        <v>-700</v>
      </c>
    </row>
    <row r="6" customFormat="false" ht="15" hidden="false" customHeight="false" outlineLevel="0" collapsed="false">
      <c r="B6" s="20" t="s">
        <v>159</v>
      </c>
      <c r="C6" s="33" t="n">
        <f aca="false">C4+C5</f>
        <v>2940</v>
      </c>
    </row>
    <row r="7" customFormat="false" ht="15" hidden="false" customHeight="false" outlineLevel="0" collapsed="false">
      <c r="B7" s="5" t="s">
        <v>160</v>
      </c>
      <c r="C7" s="6" t="n">
        <f aca="false">Assumptions!C48</f>
        <v>2000</v>
      </c>
    </row>
    <row r="8" customFormat="false" ht="15" hidden="false" customHeight="false" outlineLevel="0" collapsed="false">
      <c r="B8" s="5" t="s">
        <v>161</v>
      </c>
      <c r="C8" s="25" t="n">
        <f aca="false">C7*Assumptions!C11</f>
        <v>380</v>
      </c>
    </row>
    <row r="9" customFormat="false" ht="15" hidden="false" customHeight="false" outlineLevel="0" collapsed="false">
      <c r="B9" s="20" t="s">
        <v>162</v>
      </c>
      <c r="C9" s="33" t="n">
        <f aca="false">C6-C7+C8</f>
        <v>1320</v>
      </c>
    </row>
    <row r="11" customFormat="false" ht="15" hidden="false" customHeight="false" outlineLevel="0" collapsed="false">
      <c r="B11" s="5" t="s">
        <v>163</v>
      </c>
      <c r="C11" s="25" t="n">
        <f aca="false">C7/Assumptions!C49</f>
        <v>133.333333333333</v>
      </c>
    </row>
    <row r="12" customFormat="false" ht="15" hidden="false" customHeight="false" outlineLevel="0" collapsed="false">
      <c r="B12" s="20" t="s">
        <v>164</v>
      </c>
      <c r="C12" s="33" t="n">
        <f aca="false">C11*(1-Assumptions!C11)</f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1"/>
  </cols>
  <sheetData>
    <row r="2" customFormat="false" ht="17.35" hidden="false" customHeight="false" outlineLevel="0" collapsed="false">
      <c r="B2" s="11" t="s">
        <v>165</v>
      </c>
    </row>
    <row r="4" customFormat="false" ht="15" hidden="false" customHeight="false" outlineLevel="0" collapsed="false">
      <c r="B4" s="26" t="s">
        <v>166</v>
      </c>
      <c r="C4" s="27" t="s">
        <v>167</v>
      </c>
      <c r="D4" s="27" t="s">
        <v>168</v>
      </c>
      <c r="E4" s="27" t="s">
        <v>169</v>
      </c>
      <c r="F4" s="27" t="s">
        <v>170</v>
      </c>
      <c r="G4" s="27" t="s">
        <v>171</v>
      </c>
    </row>
    <row r="5" customFormat="false" ht="15" hidden="false" customHeight="false" outlineLevel="0" collapsed="false">
      <c r="B5" s="5" t="s">
        <v>172</v>
      </c>
      <c r="C5" s="25" t="n">
        <f aca="false">Assumptions!C42</f>
        <v>9500</v>
      </c>
      <c r="D5" s="25" t="n">
        <f aca="false">C9</f>
        <v>7700</v>
      </c>
      <c r="E5" s="25" t="n">
        <f aca="false">D9</f>
        <v>5900</v>
      </c>
      <c r="F5" s="25" t="n">
        <f aca="false">E9</f>
        <v>4100</v>
      </c>
      <c r="G5" s="25" t="n">
        <f aca="false">F9</f>
        <v>2300</v>
      </c>
    </row>
    <row r="6" customFormat="false" ht="15" hidden="false" customHeight="false" outlineLevel="0" collapsed="false">
      <c r="B6" s="5" t="s">
        <v>173</v>
      </c>
      <c r="C6" s="25" t="n">
        <f aca="false">C5*Assumptions!$C$43</f>
        <v>570</v>
      </c>
      <c r="D6" s="25" t="n">
        <f aca="false">D5*Assumptions!$C$43</f>
        <v>462</v>
      </c>
      <c r="E6" s="25" t="n">
        <f aca="false">E5*Assumptions!$C$43</f>
        <v>354</v>
      </c>
      <c r="F6" s="25" t="n">
        <f aca="false">F5*Assumptions!$C$43</f>
        <v>246</v>
      </c>
      <c r="G6" s="25" t="n">
        <f aca="false">G5*Assumptions!$C$43</f>
        <v>138</v>
      </c>
    </row>
    <row r="7" customFormat="false" ht="15" hidden="false" customHeight="false" outlineLevel="0" collapsed="false">
      <c r="B7" s="5" t="s">
        <v>174</v>
      </c>
      <c r="C7" s="25" t="n">
        <f aca="false">-MIN(Assumptions!$C$52,C5)</f>
        <v>-1800</v>
      </c>
      <c r="D7" s="25" t="n">
        <f aca="false">-MIN(Assumptions!$C$52,D5)</f>
        <v>-1800</v>
      </c>
      <c r="E7" s="25" t="n">
        <f aca="false">-MIN(Assumptions!$C$52,E5)</f>
        <v>-1800</v>
      </c>
      <c r="F7" s="25" t="n">
        <f aca="false">-MIN(Assumptions!$C$52,F5)</f>
        <v>-1800</v>
      </c>
      <c r="G7" s="25" t="n">
        <f aca="false">-MIN(Assumptions!$C$52,G5)</f>
        <v>-1800</v>
      </c>
    </row>
    <row r="8" customFormat="false" ht="15" hidden="false" customHeight="false" outlineLevel="0" collapsed="false">
      <c r="B8" s="5" t="s">
        <v>175</v>
      </c>
      <c r="C8" s="25" t="n">
        <f aca="false">Assumptions!$C$46*Assumptions!C47</f>
        <v>105</v>
      </c>
      <c r="D8" s="25" t="n">
        <f aca="false">Assumptions!$C$46*Assumptions!D47</f>
        <v>245</v>
      </c>
      <c r="E8" s="25" t="n">
        <f aca="false">Assumptions!$C$46*Assumptions!E47</f>
        <v>350</v>
      </c>
      <c r="F8" s="25" t="n">
        <f aca="false">Assumptions!$C$46*Assumptions!E47</f>
        <v>350</v>
      </c>
      <c r="G8" s="25" t="n">
        <f aca="false">Assumptions!$C$46*Assumptions!E47</f>
        <v>350</v>
      </c>
    </row>
    <row r="9" customFormat="false" ht="15" hidden="false" customHeight="false" outlineLevel="0" collapsed="false">
      <c r="B9" s="20" t="s">
        <v>176</v>
      </c>
      <c r="C9" s="25" t="n">
        <f aca="false">C5+C7</f>
        <v>7700</v>
      </c>
      <c r="D9" s="25" t="n">
        <f aca="false">D5+D7</f>
        <v>5900</v>
      </c>
      <c r="E9" s="25" t="n">
        <f aca="false">E5+E7</f>
        <v>4100</v>
      </c>
      <c r="F9" s="25" t="n">
        <f aca="false">F5+F7</f>
        <v>2300</v>
      </c>
      <c r="G9" s="25" t="n">
        <f aca="false">G5+G7</f>
        <v>500</v>
      </c>
    </row>
    <row r="10" customFormat="false" ht="15" hidden="false" customHeight="false" outlineLevel="0" collapsed="false">
      <c r="B10" s="5" t="s">
        <v>177</v>
      </c>
      <c r="C10" s="25" t="n">
        <f aca="false">Assumptions!$C$40+Assumptions!$C$41+C8</f>
        <v>3780</v>
      </c>
      <c r="D10" s="25" t="n">
        <f aca="false">Assumptions!$C$40+Assumptions!$C$41+D8</f>
        <v>3920</v>
      </c>
      <c r="E10" s="25" t="n">
        <f aca="false">Assumptions!$C$40+Assumptions!$C$41+E8</f>
        <v>4025</v>
      </c>
      <c r="F10" s="25" t="n">
        <f aca="false">Assumptions!$C$40+Assumptions!$C$41+F8</f>
        <v>4025</v>
      </c>
      <c r="G10" s="25" t="n">
        <f aca="false">Assumptions!$C$40+Assumptions!$C$41+G8</f>
        <v>4025</v>
      </c>
    </row>
    <row r="11" customFormat="false" ht="15" hidden="false" customHeight="false" outlineLevel="0" collapsed="false">
      <c r="B11" s="20" t="s">
        <v>98</v>
      </c>
      <c r="C11" s="29" t="n">
        <f aca="false">C9/C10</f>
        <v>2.03703703703704</v>
      </c>
      <c r="D11" s="29" t="n">
        <f aca="false">D9/D10</f>
        <v>1.50510204081633</v>
      </c>
      <c r="E11" s="29" t="n">
        <f aca="false">E9/E10</f>
        <v>1.01863354037267</v>
      </c>
      <c r="F11" s="29" t="n">
        <f aca="false">F9/F10</f>
        <v>0.571428571428571</v>
      </c>
      <c r="G11" s="29" t="n">
        <f aca="false">G9/G10</f>
        <v>0.124223602484472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2"/>
  </cols>
  <sheetData>
    <row r="2" customFormat="false" ht="17.35" hidden="false" customHeight="false" outlineLevel="0" collapsed="false">
      <c r="B2" s="11" t="s">
        <v>178</v>
      </c>
    </row>
    <row r="4" customFormat="false" ht="15" hidden="false" customHeight="false" outlineLevel="0" collapsed="false">
      <c r="B4" s="40"/>
      <c r="C4" s="27" t="s">
        <v>179</v>
      </c>
      <c r="D4" s="27" t="s">
        <v>180</v>
      </c>
      <c r="E4" s="27" t="s">
        <v>181</v>
      </c>
    </row>
    <row r="5" customFormat="false" ht="15" hidden="false" customHeight="false" outlineLevel="0" collapsed="false">
      <c r="B5" s="5" t="s">
        <v>182</v>
      </c>
      <c r="C5" s="6" t="n">
        <f aca="false">Assumptions!$C$36</f>
        <v>1278</v>
      </c>
      <c r="D5" s="6" t="n">
        <f aca="false">Assumptions!$C$36</f>
        <v>1278</v>
      </c>
      <c r="E5" s="6" t="n">
        <f aca="false">Assumptions!$C$36</f>
        <v>1278</v>
      </c>
    </row>
    <row r="6" customFormat="false" ht="15" hidden="false" customHeight="false" outlineLevel="0" collapsed="false">
      <c r="B6" s="5" t="s">
        <v>183</v>
      </c>
      <c r="C6" s="6" t="n">
        <f aca="false">Assumptions!$C$38+Assumptions!$C$39*(1-Assumptions!$C$11)</f>
        <v>1318.5</v>
      </c>
      <c r="D6" s="6" t="n">
        <f aca="false">Assumptions!$C$38+Assumptions!$C$39*(1-Assumptions!$C$11)</f>
        <v>1318.5</v>
      </c>
      <c r="E6" s="6" t="n">
        <f aca="false">Assumptions!$C$38+Assumptions!$C$39*(1-Assumptions!$C$11)</f>
        <v>1318.5</v>
      </c>
    </row>
    <row r="7" customFormat="false" ht="15" hidden="false" customHeight="false" outlineLevel="0" collapsed="false">
      <c r="B7" s="5" t="s">
        <v>184</v>
      </c>
      <c r="C7" s="25" t="n">
        <f aca="false">-Assumptions!$C$42*Assumptions!$C$43*(1-Assumptions!$C$11)</f>
        <v>-461.7</v>
      </c>
      <c r="D7" s="25" t="n">
        <f aca="false">-Assumptions!$C$42*Assumptions!$C$43*(1-Assumptions!$C$11)</f>
        <v>-461.7</v>
      </c>
      <c r="E7" s="25" t="n">
        <f aca="false">-Assumptions!$C$42*Assumptions!$C$43*(1-Assumptions!$C$11)</f>
        <v>-461.7</v>
      </c>
    </row>
    <row r="8" customFormat="false" ht="15" hidden="false" customHeight="false" outlineLevel="0" collapsed="false">
      <c r="B8" s="5" t="s">
        <v>185</v>
      </c>
      <c r="C8" s="25" t="n">
        <f aca="false">-Assumptions!$C$44*Assumptions!$C$45*(1-Assumptions!$C$11)</f>
        <v>-72.9</v>
      </c>
      <c r="D8" s="25" t="n">
        <f aca="false">-Assumptions!$C$44*Assumptions!$C$45*(1-Assumptions!$C$11)</f>
        <v>-72.9</v>
      </c>
      <c r="E8" s="25" t="n">
        <f aca="false">-Assumptions!$C$44*Assumptions!$C$45*(1-Assumptions!$C$11)</f>
        <v>-72.9</v>
      </c>
    </row>
    <row r="9" customFormat="false" ht="15" hidden="false" customHeight="false" outlineLevel="0" collapsed="false">
      <c r="B9" s="5" t="s">
        <v>186</v>
      </c>
      <c r="C9" s="6" t="n">
        <f aca="false">-PPA!C12</f>
        <v>-108</v>
      </c>
      <c r="D9" s="6" t="n">
        <f aca="false">-PPA!C12</f>
        <v>-108</v>
      </c>
      <c r="E9" s="6" t="n">
        <f aca="false">-PPA!C12</f>
        <v>-108</v>
      </c>
    </row>
    <row r="10" customFormat="false" ht="15" hidden="false" customHeight="false" outlineLevel="0" collapsed="false">
      <c r="B10" s="5" t="s">
        <v>187</v>
      </c>
      <c r="C10" s="25" t="n">
        <f aca="false">Assumptions!$C$46*Assumptions!C47*(1-Assumptions!$C$11)</f>
        <v>85.05</v>
      </c>
      <c r="D10" s="25" t="n">
        <f aca="false">Assumptions!$C$46*Assumptions!D47*(1-Assumptions!$C$11)</f>
        <v>198.45</v>
      </c>
      <c r="E10" s="25" t="n">
        <f aca="false">Assumptions!$C$46*Assumptions!E47*(1-Assumptions!$C$11)</f>
        <v>283.5</v>
      </c>
    </row>
    <row r="11" customFormat="false" ht="15" hidden="false" customHeight="false" outlineLevel="0" collapsed="false">
      <c r="B11" s="20" t="s">
        <v>188</v>
      </c>
      <c r="C11" s="33" t="n">
        <f aca="false">SUM(C5:C10)</f>
        <v>2038.95</v>
      </c>
      <c r="D11" s="33" t="n">
        <f aca="false">SUM(D5:D10)</f>
        <v>2152.35</v>
      </c>
      <c r="E11" s="33" t="n">
        <f aca="false">SUM(E5:E10)</f>
        <v>2237.4</v>
      </c>
    </row>
    <row r="13" customFormat="false" ht="15" hidden="false" customHeight="false" outlineLevel="0" collapsed="false">
      <c r="B13" s="5" t="s">
        <v>189</v>
      </c>
      <c r="C13" s="39" t="n">
        <f aca="false">Assumptions!$C$36/Assumptions!$C$37</f>
        <v>0.532655357812695</v>
      </c>
      <c r="D13" s="39" t="n">
        <f aca="false">Assumptions!$C$36/Assumptions!$C$37</f>
        <v>0.532655357812695</v>
      </c>
      <c r="E13" s="39" t="n">
        <f aca="false">Assumptions!$C$36/Assumptions!$C$37</f>
        <v>0.532655357812695</v>
      </c>
    </row>
    <row r="14" customFormat="false" ht="15" hidden="false" customHeight="false" outlineLevel="0" collapsed="false">
      <c r="B14" s="20" t="s">
        <v>190</v>
      </c>
      <c r="C14" s="35" t="n">
        <f aca="false">C11/Assumptions!$C$37</f>
        <v>0.849810361355395</v>
      </c>
      <c r="D14" s="35" t="n">
        <f aca="false">D11/Assumptions!$C$37</f>
        <v>0.897074146626099</v>
      </c>
      <c r="E14" s="35" t="n">
        <f aca="false">E11/Assumptions!$C$37</f>
        <v>0.932521985579127</v>
      </c>
    </row>
    <row r="15" customFormat="false" ht="15" hidden="false" customHeight="false" outlineLevel="0" collapsed="false">
      <c r="B15" s="5" t="s">
        <v>191</v>
      </c>
      <c r="C15" s="41" t="n">
        <f aca="false">C13*Assumptions!$C$35</f>
        <v>45.5420330929855</v>
      </c>
      <c r="D15" s="41" t="n">
        <f aca="false">D13*Assumptions!$C$35</f>
        <v>45.5420330929855</v>
      </c>
      <c r="E15" s="41" t="n">
        <f aca="false">E13*Assumptions!$C$35</f>
        <v>45.5420330929855</v>
      </c>
    </row>
    <row r="16" customFormat="false" ht="15" hidden="false" customHeight="false" outlineLevel="0" collapsed="false">
      <c r="B16" s="20" t="s">
        <v>192</v>
      </c>
      <c r="C16" s="42" t="n">
        <f aca="false">C14*Assumptions!$C$35</f>
        <v>72.6587858958863</v>
      </c>
      <c r="D16" s="42" t="n">
        <f aca="false">D14*Assumptions!$C$35</f>
        <v>76.6998395365315</v>
      </c>
      <c r="E16" s="42" t="n">
        <f aca="false">E14*Assumptions!$C$35</f>
        <v>79.7306297670154</v>
      </c>
    </row>
    <row r="17" customFormat="false" ht="15" hidden="false" customHeight="false" outlineLevel="0" collapsed="false">
      <c r="B17" s="20" t="s">
        <v>193</v>
      </c>
      <c r="C17" s="21" t="n">
        <f aca="false">C14/C13-1</f>
        <v>0.595422535211267</v>
      </c>
      <c r="D17" s="21" t="n">
        <f aca="false">D14/D13-1</f>
        <v>0.684154929577465</v>
      </c>
      <c r="E17" s="21" t="n">
        <f aca="false">E14/E13-1</f>
        <v>0.750704225352113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2"/>
  </cols>
  <sheetData>
    <row r="2" customFormat="false" ht="17.35" hidden="false" customHeight="false" outlineLevel="0" collapsed="false">
      <c r="B2" s="11" t="s">
        <v>194</v>
      </c>
    </row>
    <row r="4" customFormat="false" ht="15" hidden="false" customHeight="false" outlineLevel="0" collapsed="false">
      <c r="B4" s="26" t="s">
        <v>195</v>
      </c>
      <c r="C4" s="27" t="s">
        <v>196</v>
      </c>
      <c r="D4" s="27" t="s">
        <v>197</v>
      </c>
    </row>
    <row r="5" customFormat="false" ht="15" hidden="false" customHeight="false" outlineLevel="0" collapsed="false">
      <c r="B5" s="5" t="s">
        <v>198</v>
      </c>
      <c r="C5" s="7" t="n">
        <f aca="false">Sensitivity!F6</f>
        <v>13.3399752561151</v>
      </c>
      <c r="D5" s="7" t="n">
        <f aca="false">Sensitivity!D8</f>
        <v>19.7436024633876</v>
      </c>
    </row>
    <row r="6" customFormat="false" ht="15" hidden="false" customHeight="false" outlineLevel="0" collapsed="false">
      <c r="B6" s="5" t="s">
        <v>199</v>
      </c>
      <c r="C6" s="7" t="n">
        <f aca="false">'Trading Comps'!C15</f>
        <v>12.9230769230769</v>
      </c>
      <c r="D6" s="7" t="n">
        <f aca="false">'Trading Comps'!C16</f>
        <v>23.9423076923077</v>
      </c>
    </row>
    <row r="7" customFormat="false" ht="15" hidden="false" customHeight="false" outlineLevel="0" collapsed="false">
      <c r="B7" s="5" t="s">
        <v>200</v>
      </c>
      <c r="C7" s="7" t="n">
        <f aca="false">Precedents!C13</f>
        <v>20.2692307692308</v>
      </c>
      <c r="D7" s="7" t="n">
        <f aca="false">Precedents!C14</f>
        <v>34.9615384615385</v>
      </c>
    </row>
    <row r="8" customFormat="false" ht="15" hidden="false" customHeight="false" outlineLevel="0" collapsed="false">
      <c r="B8" s="5" t="s">
        <v>201</v>
      </c>
      <c r="C8" s="23" t="n">
        <v>9</v>
      </c>
      <c r="D8" s="23" t="n">
        <v>22</v>
      </c>
    </row>
    <row r="10" customFormat="false" ht="15" hidden="false" customHeight="false" outlineLevel="0" collapsed="false">
      <c r="B10" s="20" t="s">
        <v>57</v>
      </c>
      <c r="C10" s="7" t="n">
        <f aca="false">Assumptions!C32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44"/>
  </cols>
  <sheetData>
    <row r="2" customFormat="false" ht="17.35" hidden="false" customHeight="false" outlineLevel="0" collapsed="false">
      <c r="B2" s="11" t="s">
        <v>202</v>
      </c>
    </row>
    <row r="4" customFormat="false" ht="15" hidden="false" customHeight="false" outlineLevel="0" collapsed="false">
      <c r="B4" s="43" t="s">
        <v>203</v>
      </c>
      <c r="C4" s="44" t="s">
        <v>204</v>
      </c>
      <c r="D4" s="44" t="s">
        <v>205</v>
      </c>
      <c r="E4" s="44" t="s">
        <v>206</v>
      </c>
      <c r="F4" s="44" t="s">
        <v>207</v>
      </c>
      <c r="G4" s="43" t="s">
        <v>208</v>
      </c>
    </row>
    <row r="5" customFormat="false" ht="23.85" hidden="false" customHeight="false" outlineLevel="0" collapsed="false">
      <c r="B5" s="13" t="s">
        <v>209</v>
      </c>
      <c r="C5" s="13" t="s">
        <v>210</v>
      </c>
      <c r="D5" s="45" t="n">
        <v>4</v>
      </c>
      <c r="E5" s="45" t="n">
        <v>5</v>
      </c>
      <c r="F5" s="46" t="n">
        <f aca="false">D5*E5</f>
        <v>20</v>
      </c>
      <c r="G5" s="13" t="s">
        <v>211</v>
      </c>
    </row>
    <row r="6" customFormat="false" ht="15" hidden="false" customHeight="false" outlineLevel="0" collapsed="false">
      <c r="B6" s="47" t="s">
        <v>212</v>
      </c>
      <c r="C6" s="47" t="s">
        <v>213</v>
      </c>
      <c r="D6" s="48" t="n">
        <v>3</v>
      </c>
      <c r="E6" s="48" t="n">
        <v>4</v>
      </c>
      <c r="F6" s="49" t="n">
        <f aca="false">D6*E6</f>
        <v>12</v>
      </c>
      <c r="G6" s="47" t="s">
        <v>214</v>
      </c>
    </row>
    <row r="7" customFormat="false" ht="15" hidden="false" customHeight="false" outlineLevel="0" collapsed="false">
      <c r="B7" s="13" t="s">
        <v>215</v>
      </c>
      <c r="C7" s="13" t="s">
        <v>216</v>
      </c>
      <c r="D7" s="45" t="n">
        <v>3</v>
      </c>
      <c r="E7" s="45" t="n">
        <v>4</v>
      </c>
      <c r="F7" s="46" t="n">
        <f aca="false">D7*E7</f>
        <v>12</v>
      </c>
      <c r="G7" s="13" t="s">
        <v>217</v>
      </c>
    </row>
    <row r="8" customFormat="false" ht="15" hidden="false" customHeight="false" outlineLevel="0" collapsed="false">
      <c r="B8" s="47" t="s">
        <v>218</v>
      </c>
      <c r="C8" s="47" t="s">
        <v>219</v>
      </c>
      <c r="D8" s="48" t="n">
        <v>4</v>
      </c>
      <c r="E8" s="48" t="n">
        <v>3</v>
      </c>
      <c r="F8" s="49" t="n">
        <f aca="false">D8*E8</f>
        <v>12</v>
      </c>
      <c r="G8" s="47" t="s">
        <v>220</v>
      </c>
    </row>
    <row r="9" customFormat="false" ht="15" hidden="false" customHeight="false" outlineLevel="0" collapsed="false">
      <c r="B9" s="13" t="s">
        <v>221</v>
      </c>
      <c r="C9" s="13" t="s">
        <v>222</v>
      </c>
      <c r="D9" s="45" t="n">
        <v>3</v>
      </c>
      <c r="E9" s="45" t="n">
        <v>3</v>
      </c>
      <c r="F9" s="46" t="n">
        <f aca="false">D9*E9</f>
        <v>9</v>
      </c>
      <c r="G9" s="13" t="s">
        <v>223</v>
      </c>
    </row>
    <row r="10" customFormat="false" ht="15" hidden="false" customHeight="false" outlineLevel="0" collapsed="false">
      <c r="B10" s="47" t="s">
        <v>224</v>
      </c>
      <c r="C10" s="47" t="s">
        <v>225</v>
      </c>
      <c r="D10" s="48" t="n">
        <v>3</v>
      </c>
      <c r="E10" s="48" t="n">
        <v>3</v>
      </c>
      <c r="F10" s="49" t="n">
        <f aca="false">D10*E10</f>
        <v>9</v>
      </c>
      <c r="G10" s="47" t="s">
        <v>226</v>
      </c>
    </row>
    <row r="11" customFormat="false" ht="15" hidden="false" customHeight="false" outlineLevel="0" collapsed="false">
      <c r="B11" s="13" t="s">
        <v>227</v>
      </c>
      <c r="C11" s="13" t="s">
        <v>228</v>
      </c>
      <c r="D11" s="45" t="n">
        <v>4</v>
      </c>
      <c r="E11" s="45" t="n">
        <v>2</v>
      </c>
      <c r="F11" s="46" t="n">
        <f aca="false">D11*E11</f>
        <v>8</v>
      </c>
      <c r="G11" s="13" t="s">
        <v>229</v>
      </c>
    </row>
    <row r="12" customFormat="false" ht="15" hidden="false" customHeight="false" outlineLevel="0" collapsed="false">
      <c r="B12" s="47" t="s">
        <v>230</v>
      </c>
      <c r="C12" s="47" t="s">
        <v>231</v>
      </c>
      <c r="D12" s="48" t="n">
        <v>2</v>
      </c>
      <c r="E12" s="48" t="n">
        <v>3</v>
      </c>
      <c r="F12" s="49" t="n">
        <f aca="false">D12*E12</f>
        <v>6</v>
      </c>
      <c r="G12" s="47" t="s">
        <v>232</v>
      </c>
    </row>
    <row r="13" customFormat="false" ht="15" hidden="false" customHeight="false" outlineLevel="0" collapsed="false">
      <c r="B13" s="13" t="s">
        <v>233</v>
      </c>
      <c r="C13" s="13" t="s">
        <v>234</v>
      </c>
      <c r="D13" s="45" t="n">
        <v>2</v>
      </c>
      <c r="E13" s="45" t="n">
        <v>3</v>
      </c>
      <c r="F13" s="46" t="n">
        <f aca="false">D13*E13</f>
        <v>6</v>
      </c>
      <c r="G13" s="13" t="s">
        <v>235</v>
      </c>
    </row>
    <row r="14" customFormat="false" ht="15" hidden="false" customHeight="false" outlineLevel="0" collapsed="false">
      <c r="B14" s="47" t="s">
        <v>236</v>
      </c>
      <c r="C14" s="47" t="s">
        <v>237</v>
      </c>
      <c r="D14" s="48" t="n">
        <v>2</v>
      </c>
      <c r="E14" s="48" t="n">
        <v>2</v>
      </c>
      <c r="F14" s="49" t="n">
        <f aca="false">D14*E14</f>
        <v>4</v>
      </c>
      <c r="G14" s="4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2026-07-27T10:03:18Z</dcterms:created>
  <dc:creator>openpyxl</dc:creator>
  <dc:description/>
  <dc:language>en-US</dc:language>
  <cp:lastModifiedBy/>
  <dcterms:modified xsi:type="dcterms:W3CDTF">2026-07-27T10:03:18Z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