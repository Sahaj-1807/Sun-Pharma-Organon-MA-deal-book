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_Uses" sheetId="3" state="visible" r:id="rId5"/>
    <sheet name="PPA" sheetId="4" state="visible" r:id="rId6"/>
    <sheet name="Debt_Schedule" sheetId="5" state="visible" r:id="rId7"/>
    <sheet name="Accre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<sst xmlns="http://schemas.openxmlformats.org/spreadsheetml/2006/main" count="91" uniqueCount="91">
  <si>
    <t xml:space="preserve">SUN PHARMA / ORGANON</t>
  </si>
  <si>
    <t xml:space="preserve">Merger Model — Chapter 8</t>
  </si>
  <si>
    <t xml:space="preserve">All-cash · new debt ~$9.5bn · no shares issued</t>
  </si>
  <si>
    <t xml:space="preserve">KEY OUTPUTS</t>
  </si>
  <si>
    <t xml:space="preserve">Year-1 EPS accretion</t>
  </si>
  <si>
    <t xml:space="preserve">Year-3 EPS accretion</t>
  </si>
  <si>
    <t xml:space="preserve">Pro forma EPS Yr1 (₹)</t>
  </si>
  <si>
    <t xml:space="preserve">Goodwill created ($mm)</t>
  </si>
  <si>
    <t xml:space="preserve">Net leverage at close (x)</t>
  </si>
  <si>
    <t xml:space="preserve">Net leverage Yr5 (x)</t>
  </si>
  <si>
    <t xml:space="preserve">COLOUR LEGEND</t>
  </si>
  <si>
    <t xml:space="preserve">Blue = input</t>
  </si>
  <si>
    <t xml:space="preserve">Black = formula</t>
  </si>
  <si>
    <t xml:space="preserve">Green = link to another sheet</t>
  </si>
  <si>
    <t xml:space="preserve">Confidential — educational purposes only. Analyst estimates; see report Ch.8.</t>
  </si>
  <si>
    <t xml:space="preserve">Sun Pharma / Organon — Merger Model</t>
  </si>
  <si>
    <t xml:space="preserve">Assumptions (blue = input, black = formula, green = link)</t>
  </si>
  <si>
    <t xml:space="preserve">INPUTS</t>
  </si>
  <si>
    <t xml:space="preserve">FX (INR per USD)</t>
  </si>
  <si>
    <t xml:space="preserve">Sun net income ($mm)</t>
  </si>
  <si>
    <t xml:space="preserve">Sun shares outstanding (mm)</t>
  </si>
  <si>
    <t xml:space="preserve">Sun EBITDA ($mm)</t>
  </si>
  <si>
    <t xml:space="preserve">Organon adj. net income ($mm)</t>
  </si>
  <si>
    <t xml:space="preserve">Organon existing interest, pre-tax ($mm)</t>
  </si>
  <si>
    <t xml:space="preserve">Organon EBITDA ($mm)</t>
  </si>
  <si>
    <t xml:space="preserve">New acquisition debt ($mm)</t>
  </si>
  <si>
    <t xml:space="preserve">Blended debt rate (%)</t>
  </si>
  <si>
    <t xml:space="preserve">Sun cash used ($mm)</t>
  </si>
  <si>
    <t xml:space="preserve">Forgone rate on cash (%)</t>
  </si>
  <si>
    <t xml:space="preserve">Synergy run-rate ($mm)</t>
  </si>
  <si>
    <t xml:space="preserve">Synergy phasing (Yr1 / Yr2 / Yr3)</t>
  </si>
  <si>
    <t xml:space="preserve">PPA intangible step-up ($mm)</t>
  </si>
  <si>
    <t xml:space="preserve">Intangible life (years)</t>
  </si>
  <si>
    <t xml:space="preserve">Tax rate (%)</t>
  </si>
  <si>
    <t xml:space="preserve">FCF for debt sweep ($mm/yr)</t>
  </si>
  <si>
    <t xml:space="preserve">Organon book equity ($mm)</t>
  </si>
  <si>
    <t xml:space="preserve">Equity purchase price ($mm)</t>
  </si>
  <si>
    <t xml:space="preserve">Sources &amp; Uses ($mm)</t>
  </si>
  <si>
    <t xml:space="preserve">Sources</t>
  </si>
  <si>
    <t xml:space="preserve">Uses</t>
  </si>
  <si>
    <t xml:space="preserve">New acquisition debt</t>
  </si>
  <si>
    <t xml:space="preserve">Refinance Organon debt</t>
  </si>
  <si>
    <t xml:space="preserve">Sun internal accruals</t>
  </si>
  <si>
    <t xml:space="preserve">Equity consideration</t>
  </si>
  <si>
    <t xml:space="preserve">Organon balance-sheet cash</t>
  </si>
  <si>
    <t xml:space="preserve">Fees &amp; expenses (est.)</t>
  </si>
  <si>
    <t xml:space="preserve">Total sources</t>
  </si>
  <si>
    <t xml:space="preserve">Total uses</t>
  </si>
  <si>
    <t xml:space="preserve">Check (sources − uses)</t>
  </si>
  <si>
    <t xml:space="preserve">Purchase Price Allocation ($mm)</t>
  </si>
  <si>
    <t xml:space="preserve">Equity purchase price</t>
  </si>
  <si>
    <t xml:space="preserve">less: Organon book equity</t>
  </si>
  <si>
    <t xml:space="preserve">Allocable excess</t>
  </si>
  <si>
    <t xml:space="preserve">Identifiable intangible step-up</t>
  </si>
  <si>
    <t xml:space="preserve">Deferred tax liability on step-up</t>
  </si>
  <si>
    <t xml:space="preserve">Goodwill (plug)</t>
  </si>
  <si>
    <t xml:space="preserve">Incremental amortization, pre-tax</t>
  </si>
  <si>
    <t xml:space="preserve">Incremental amortization, after-tax</t>
  </si>
  <si>
    <t xml:space="preserve">Simplified PPA; book equity &amp; step-up are analyst estimates. Goodwill not amortized (no EPS impact).</t>
  </si>
  <si>
    <t xml:space="preserve">Debt Schedule ($mm)</t>
  </si>
  <si>
    <t xml:space="preserve">Year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</si>
  <si>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</si>
  <si>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</si>
  <si>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</si>
  <si>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</si>
  <si>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</si>
  <si>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Beginning debt</t>
  </si>
  <si>
    <t xml:space="preserve">Interest (opening × rate)</t>
  </si>
  <si>
    <t xml:space="preserve">FCF sweep (repayment)</t>
  </si>
  <si>
    <t xml:space="preserve">Synergy phasing EBITDA add</t>
  </si>
  <si>
    <t xml:space="preserve">Ending debt</t>
  </si>
  <si>
    <t xml:space="preserve">Combined EBITDA</t>
  </si>
  <si>
    <t xml:space="preserve">Net debt / EBITDA</t>
  </si>
  <si>
    <t xml:space="preserve">Interest on opening balance (no circularity). FCF sweep flat; illustrative.</t>
  </si>
  <si>
    <t xml:space="preserve">Accretion / (Dilution) Analysis ($mm unless noted)</t>
  </si>
  <si>
    <t xml:space="preserve">Year 1</t>
  </si>
  <si>
    <t xml:space="preserve">Year 2</t>
  </si>
  <si>
    <t xml:space="preserve">Year 3</t>
  </si>
  <si>
    <t xml:space="preserve">Sun standalone net income</t>
  </si>
  <si>
    <t xml:space="preserve">Organon pre-financing earnings (a-t)</t>
  </si>
  <si>
    <t xml:space="preserve">less: new acquisition interest (a-t)</t>
  </si>
  <si>
    <t xml:space="preserve">less: forgone interest on cash (a-t)</t>
  </si>
  <si>
    <t xml:space="preserve">less: incremental PPA amort (a-t)</t>
  </si>
  <si>
    <t xml:space="preserve">add: synergies (a-t)</t>
  </si>
  <si>
    <t xml:space="preserve">Pro forma net income</t>
  </si>
  <si>
    <t xml:space="preserve">Sun standalone EPS ($)</t>
  </si>
  <si>
    <t xml:space="preserve">Pro forma EPS ($)</t>
  </si>
  <si>
    <t xml:space="preserve">Sun standalone EPS (₹)</t>
  </si>
  <si>
    <t xml:space="preserve">Pro forma EPS (₹)</t>
  </si>
  <si>
    <t xml:space="preserve">Accretion / (dilution) %</t>
  </si>
  <si>
    <t xml:space="preserve">New interest held at opening $9.5bn (conservative; deleveraging upside not credited). Cross-border: INR acquirer, USD target at FX above.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</si>
</sst>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₹#,##0.00"/>
    <numFmt numFmtId="167" formatCode="\$#,##0;&quot;($&quot;#,##0\);\-"/>
    <numFmt numFmtId="168" formatCode="0.0\x"/>
    <numFmt numFmtId="169" formatCode="#,##0.0"/>
    <numFmt numFmtId="170" formatCode="#,##0"/>
    <numFmt numFmtId="171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2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6" t="n">
        <f aca="false">Accretion!C17</f>
        <v>0.595422535211267</v>
      </c>
    </row>
    <row r="8" customFormat="false" ht="15" hidden="false" customHeight="false" outlineLevel="0" collapsed="false">
      <c r="B8" s="5" t="s">
        <v>5</v>
      </c>
      <c r="C8" s="6" t="n">
        <f aca="false">Accretion!E17</f>
        <v>0.750704225352113</v>
      </c>
    </row>
    <row r="9" customFormat="false" ht="15" hidden="false" customHeight="false" outlineLevel="0" collapsed="false">
      <c r="B9" s="5" t="s">
        <v>6</v>
      </c>
      <c r="C9" s="7" t="n">
        <f aca="false">Accretion!C16</f>
        <v>72.6587858958863</v>
      </c>
    </row>
    <row r="10" customFormat="false" ht="15" hidden="false" customHeight="false" outlineLevel="0" collapsed="false">
      <c r="B10" s="5" t="s">
        <v>7</v>
      </c>
      <c r="C10" s="8" t="n">
        <f aca="false">PPA!C9</f>
        <v>1330</v>
      </c>
    </row>
    <row r="11" customFormat="false" ht="15" hidden="false" customHeight="false" outlineLevel="0" collapsed="false">
      <c r="B11" s="5" t="s">
        <v>8</v>
      </c>
      <c r="C11" s="9" t="n">
        <f aca="false">Debt_Schedule!C11</f>
        <v>2.03703703703704</v>
      </c>
    </row>
    <row r="12" customFormat="false" ht="15" hidden="false" customHeight="false" outlineLevel="0" collapsed="false">
      <c r="B12" s="5" t="s">
        <v>9</v>
      </c>
      <c r="C12" s="9" t="n">
        <f aca="false">Debt_Schedule!G11</f>
        <v>0.124223602484472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10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11" t="s">
        <v>13</v>
      </c>
    </row>
    <row r="19" customFormat="false" ht="15" hidden="false" customHeight="false" outlineLevel="0" collapsed="false">
      <c r="B19" s="1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5" min="3" style="0" width="12"/>
  </cols>
  <sheetData>
    <row r="2" customFormat="false" ht="17.35" hidden="false" customHeight="false" outlineLevel="0" collapsed="false">
      <c r="B2" s="13" t="s">
        <v>15</v>
      </c>
    </row>
    <row r="3" customFormat="false" ht="15" hidden="false" customHeight="false" outlineLevel="0" collapsed="false">
      <c r="B3" s="14" t="s">
        <v>16</v>
      </c>
    </row>
    <row r="5" customFormat="false" ht="15" hidden="false" customHeight="false" outlineLevel="0" collapsed="false">
      <c r="B5" s="4" t="s">
        <v>17</v>
      </c>
    </row>
    <row r="6" customFormat="false" ht="15" hidden="false" customHeight="false" outlineLevel="0" collapsed="false">
      <c r="B6" s="5" t="s">
        <v>18</v>
      </c>
      <c r="C6" s="15" t="n">
        <v>85.5</v>
      </c>
    </row>
    <row r="7" customFormat="false" ht="15" hidden="false" customHeight="false" outlineLevel="0" collapsed="false">
      <c r="B7" s="5" t="s">
        <v>19</v>
      </c>
      <c r="C7" s="16" t="n">
        <v>1278</v>
      </c>
    </row>
    <row r="8" customFormat="false" ht="15" hidden="false" customHeight="false" outlineLevel="0" collapsed="false">
      <c r="B8" s="5" t="s">
        <v>20</v>
      </c>
      <c r="C8" s="15" t="n">
        <v>2399.3</v>
      </c>
    </row>
    <row r="9" customFormat="false" ht="15" hidden="false" customHeight="false" outlineLevel="0" collapsed="false">
      <c r="B9" s="5" t="s">
        <v>21</v>
      </c>
      <c r="C9" s="16" t="n">
        <v>1765</v>
      </c>
    </row>
    <row r="10" customFormat="false" ht="15" hidden="false" customHeight="false" outlineLevel="0" collapsed="false">
      <c r="B10" s="5" t="s">
        <v>22</v>
      </c>
      <c r="C10" s="16" t="n">
        <v>954</v>
      </c>
    </row>
    <row r="11" customFormat="false" ht="15" hidden="false" customHeight="false" outlineLevel="0" collapsed="false">
      <c r="B11" s="5" t="s">
        <v>23</v>
      </c>
      <c r="C11" s="16" t="n">
        <v>450</v>
      </c>
    </row>
    <row r="12" customFormat="false" ht="15" hidden="false" customHeight="false" outlineLevel="0" collapsed="false">
      <c r="B12" s="5" t="s">
        <v>24</v>
      </c>
      <c r="C12" s="16" t="n">
        <v>1910</v>
      </c>
    </row>
    <row r="13" customFormat="false" ht="15" hidden="false" customHeight="false" outlineLevel="0" collapsed="false">
      <c r="B13" s="5" t="s">
        <v>25</v>
      </c>
      <c r="C13" s="16" t="n">
        <v>9500</v>
      </c>
    </row>
    <row r="14" customFormat="false" ht="15" hidden="false" customHeight="false" outlineLevel="0" collapsed="false">
      <c r="B14" s="5" t="s">
        <v>26</v>
      </c>
      <c r="C14" s="17" t="n">
        <v>0.06</v>
      </c>
    </row>
    <row r="15" customFormat="false" ht="15" hidden="false" customHeight="false" outlineLevel="0" collapsed="false">
      <c r="B15" s="5" t="s">
        <v>27</v>
      </c>
      <c r="C15" s="16" t="n">
        <v>2250</v>
      </c>
    </row>
    <row r="16" customFormat="false" ht="15" hidden="false" customHeight="false" outlineLevel="0" collapsed="false">
      <c r="B16" s="5" t="s">
        <v>28</v>
      </c>
      <c r="C16" s="17" t="n">
        <v>0.04</v>
      </c>
    </row>
    <row r="17" customFormat="false" ht="15" hidden="false" customHeight="false" outlineLevel="0" collapsed="false">
      <c r="B17" s="5" t="s">
        <v>29</v>
      </c>
      <c r="C17" s="16" t="n">
        <v>350</v>
      </c>
    </row>
    <row r="18" customFormat="false" ht="15" hidden="false" customHeight="false" outlineLevel="0" collapsed="false">
      <c r="B18" s="5" t="s">
        <v>30</v>
      </c>
      <c r="C18" s="17" t="n">
        <v>0.3</v>
      </c>
      <c r="D18" s="17" t="n">
        <v>0.7</v>
      </c>
      <c r="E18" s="17" t="n">
        <v>1</v>
      </c>
    </row>
    <row r="19" customFormat="false" ht="15" hidden="false" customHeight="false" outlineLevel="0" collapsed="false">
      <c r="B19" s="5" t="s">
        <v>31</v>
      </c>
      <c r="C19" s="16" t="n">
        <v>2000</v>
      </c>
    </row>
    <row r="20" customFormat="false" ht="15" hidden="false" customHeight="false" outlineLevel="0" collapsed="false">
      <c r="B20" s="5" t="s">
        <v>32</v>
      </c>
      <c r="C20" s="18" t="n">
        <v>15</v>
      </c>
    </row>
    <row r="21" customFormat="false" ht="15" hidden="false" customHeight="false" outlineLevel="0" collapsed="false">
      <c r="B21" s="5" t="s">
        <v>33</v>
      </c>
      <c r="C21" s="17" t="n">
        <v>0.19</v>
      </c>
    </row>
    <row r="22" customFormat="false" ht="15" hidden="false" customHeight="false" outlineLevel="0" collapsed="false">
      <c r="B22" s="5" t="s">
        <v>34</v>
      </c>
      <c r="C22" s="16" t="n">
        <v>1800</v>
      </c>
    </row>
    <row r="23" customFormat="false" ht="15" hidden="false" customHeight="false" outlineLevel="0" collapsed="false">
      <c r="B23" s="5" t="s">
        <v>35</v>
      </c>
      <c r="C23" s="16" t="n">
        <v>700</v>
      </c>
    </row>
    <row r="24" customFormat="false" ht="15" hidden="false" customHeight="false" outlineLevel="0" collapsed="false">
      <c r="B24" s="5" t="s">
        <v>36</v>
      </c>
      <c r="C24" s="16" t="n">
        <v>3650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2"/>
  </cols>
  <sheetData>
    <row r="2" customFormat="false" ht="17.35" hidden="false" customHeight="false" outlineLevel="0" collapsed="false">
      <c r="B2" s="13" t="s">
        <v>37</v>
      </c>
    </row>
    <row r="4" customFormat="false" ht="15" hidden="false" customHeight="false" outlineLevel="0" collapsed="false">
      <c r="B4" s="19" t="s">
        <v>38</v>
      </c>
      <c r="C4" s="19"/>
      <c r="D4" s="19" t="s">
        <v>39</v>
      </c>
      <c r="E4" s="19"/>
    </row>
    <row r="5" customFormat="false" ht="15" hidden="false" customHeight="false" outlineLevel="0" collapsed="false">
      <c r="B5" s="0" t="s">
        <v>40</v>
      </c>
      <c r="C5" s="8" t="n">
        <f aca="false">Assumptions!C13</f>
        <v>9500</v>
      </c>
      <c r="D5" s="0" t="s">
        <v>41</v>
      </c>
      <c r="E5" s="16" t="n">
        <v>8100</v>
      </c>
    </row>
    <row r="6" customFormat="false" ht="15" hidden="false" customHeight="false" outlineLevel="0" collapsed="false">
      <c r="B6" s="0" t="s">
        <v>42</v>
      </c>
      <c r="C6" s="8" t="n">
        <f aca="false">Assumptions!C15</f>
        <v>2250</v>
      </c>
      <c r="D6" s="0" t="s">
        <v>43</v>
      </c>
      <c r="E6" s="8" t="n">
        <f aca="false">Assumptions!C24</f>
        <v>3650</v>
      </c>
    </row>
    <row r="7" customFormat="false" ht="15" hidden="false" customHeight="false" outlineLevel="0" collapsed="false">
      <c r="B7" s="0" t="s">
        <v>44</v>
      </c>
      <c r="C7" s="16" t="n">
        <v>250</v>
      </c>
      <c r="D7" s="0" t="s">
        <v>45</v>
      </c>
      <c r="E7" s="16" t="n">
        <v>250</v>
      </c>
    </row>
    <row r="8" customFormat="false" ht="15" hidden="false" customHeight="false" outlineLevel="0" collapsed="false">
      <c r="B8" s="20" t="s">
        <v>46</v>
      </c>
      <c r="C8" s="21" t="n">
        <f aca="false">SUM(C5:C7)</f>
        <v>12000</v>
      </c>
      <c r="D8" s="20" t="s">
        <v>47</v>
      </c>
      <c r="E8" s="21" t="n">
        <f aca="false">SUM(E5:E7)</f>
        <v>12000</v>
      </c>
    </row>
    <row r="10" customFormat="false" ht="15" hidden="false" customHeight="false" outlineLevel="0" collapsed="false">
      <c r="B10" s="0" t="s">
        <v>48</v>
      </c>
      <c r="C10" s="21" t="n">
        <f aca="false">C8-E8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2"/>
  </cols>
  <sheetData>
    <row r="2" customFormat="false" ht="17.35" hidden="false" customHeight="false" outlineLevel="0" collapsed="false">
      <c r="B2" s="13" t="s">
        <v>49</v>
      </c>
    </row>
    <row r="4" customFormat="false" ht="15" hidden="false" customHeight="false" outlineLevel="0" collapsed="false">
      <c r="B4" s="5" t="s">
        <v>50</v>
      </c>
      <c r="C4" s="8" t="n">
        <f aca="false">Assumptions!C24</f>
        <v>3650</v>
      </c>
    </row>
    <row r="5" customFormat="false" ht="15" hidden="false" customHeight="false" outlineLevel="0" collapsed="false">
      <c r="B5" s="5" t="s">
        <v>51</v>
      </c>
      <c r="C5" s="8" t="n">
        <f aca="false">-Assumptions!C23</f>
        <v>-700</v>
      </c>
    </row>
    <row r="6" customFormat="false" ht="15" hidden="false" customHeight="false" outlineLevel="0" collapsed="false">
      <c r="B6" s="20" t="s">
        <v>52</v>
      </c>
      <c r="C6" s="21" t="n">
        <f aca="false">C4+C5</f>
        <v>2950</v>
      </c>
    </row>
    <row r="7" customFormat="false" ht="15" hidden="false" customHeight="false" outlineLevel="0" collapsed="false">
      <c r="B7" s="5" t="s">
        <v>53</v>
      </c>
      <c r="C7" s="8" t="n">
        <f aca="false">Assumptions!C19</f>
        <v>2000</v>
      </c>
    </row>
    <row r="8" customFormat="false" ht="15" hidden="false" customHeight="false" outlineLevel="0" collapsed="false">
      <c r="B8" s="5" t="s">
        <v>54</v>
      </c>
      <c r="C8" s="22" t="n">
        <f aca="false">C7*Assumptions!C21</f>
        <v>380</v>
      </c>
    </row>
    <row r="9" customFormat="false" ht="15" hidden="false" customHeight="false" outlineLevel="0" collapsed="false">
      <c r="B9" s="20" t="s">
        <v>55</v>
      </c>
      <c r="C9" s="21" t="n">
        <f aca="false">C6-C7+C8</f>
        <v>1330</v>
      </c>
    </row>
    <row r="11" customFormat="false" ht="15" hidden="false" customHeight="false" outlineLevel="0" collapsed="false">
      <c r="B11" s="5" t="s">
        <v>56</v>
      </c>
      <c r="C11" s="22" t="n">
        <f aca="false">C7/Assumptions!C20</f>
        <v>133.333333333333</v>
      </c>
    </row>
    <row r="12" customFormat="false" ht="15" hidden="false" customHeight="false" outlineLevel="0" collapsed="false">
      <c r="B12" s="20" t="s">
        <v>57</v>
      </c>
      <c r="C12" s="21" t="n">
        <f aca="false">C11*(1-Assumptions!C21)</f>
        <v>108</v>
      </c>
    </row>
    <row r="14" customFormat="false" ht="15" hidden="false" customHeight="false" outlineLevel="0" collapsed="false">
      <c r="B14" s="1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3" t="s">
        <v>59</v>
      </c>
    </row>
    <row r="4" customFormat="false" ht="15" hidden="false" customHeight="false" outlineLevel="0" collapsed="false">
      <c r="B4" s="19" t="s">
        <v>60</v>
      </c>
      <c r="C4" s="23" t="s">
        <v>61</v>
      </c>
      <c r="D4" s="23" t="s">
        <v>62</v>
      </c>
      <c r="E4" s="23" t="s">
        <v>63</v>
      </c>
      <c r="F4" s="23" t="s">
        <v>64</v>
      </c>
      <c r="G4" s="23" t="s">
        <v>65</v>
      </c>
    </row>
    <row r="5" customFormat="false" ht="15" hidden="false" customHeight="false" outlineLevel="0" collapsed="false">
      <c r="B5" s="5" t="s">
        <v>66</v>
      </c>
      <c r="C5" s="22" t="n">
        <f aca="false">Assumptions!C13</f>
        <v>9500</v>
      </c>
      <c r="D5" s="22" t="n">
        <f aca="false">C9</f>
        <v>7700</v>
      </c>
      <c r="E5" s="22" t="n">
        <f aca="false">D9</f>
        <v>5900</v>
      </c>
      <c r="F5" s="22" t="n">
        <f aca="false">E9</f>
        <v>4100</v>
      </c>
      <c r="G5" s="22" t="n">
        <f aca="false">F9</f>
        <v>2300</v>
      </c>
    </row>
    <row r="6" customFormat="false" ht="15" hidden="false" customHeight="false" outlineLevel="0" collapsed="false">
      <c r="B6" s="5" t="s">
        <v>67</v>
      </c>
      <c r="C6" s="22" t="n">
        <f aca="false">C5*Assumptions!$C$14</f>
        <v>570</v>
      </c>
      <c r="D6" s="22" t="n">
        <f aca="false">D5*Assumptions!$C$14</f>
        <v>462</v>
      </c>
      <c r="E6" s="22" t="n">
        <f aca="false">E5*Assumptions!$C$14</f>
        <v>354</v>
      </c>
      <c r="F6" s="22" t="n">
        <f aca="false">F5*Assumptions!$C$14</f>
        <v>246</v>
      </c>
      <c r="G6" s="22" t="n">
        <f aca="false">G5*Assumptions!$C$14</f>
        <v>138</v>
      </c>
    </row>
    <row r="7" customFormat="false" ht="15" hidden="false" customHeight="false" outlineLevel="0" collapsed="false">
      <c r="B7" s="5" t="s">
        <v>68</v>
      </c>
      <c r="C7" s="22" t="n">
        <f aca="false">-MIN(Assumptions!$C$22,C5)</f>
        <v>-1800</v>
      </c>
      <c r="D7" s="22" t="n">
        <f aca="false">-MIN(Assumptions!$C$22,D5)</f>
        <v>-1800</v>
      </c>
      <c r="E7" s="22" t="n">
        <f aca="false">-MIN(Assumptions!$C$22,E5)</f>
        <v>-1800</v>
      </c>
      <c r="F7" s="22" t="n">
        <f aca="false">-MIN(Assumptions!$C$22,F5)</f>
        <v>-1800</v>
      </c>
      <c r="G7" s="22" t="n">
        <f aca="false">-MIN(Assumptions!$C$22,G5)</f>
        <v>-1800</v>
      </c>
    </row>
    <row r="8" customFormat="false" ht="15" hidden="false" customHeight="false" outlineLevel="0" collapsed="false">
      <c r="B8" s="5" t="s">
        <v>69</v>
      </c>
      <c r="C8" s="22" t="n">
        <f aca="false">Assumptions!$C$17*Assumptions!C18</f>
        <v>105</v>
      </c>
      <c r="D8" s="22" t="n">
        <f aca="false">Assumptions!$C$17*Assumptions!D18</f>
        <v>245</v>
      </c>
      <c r="E8" s="22" t="n">
        <f aca="false">Assumptions!$C$17*Assumptions!E18</f>
        <v>350</v>
      </c>
      <c r="F8" s="22" t="n">
        <f aca="false">Assumptions!$C$17*Assumptions!E18</f>
        <v>350</v>
      </c>
      <c r="G8" s="22" t="n">
        <f aca="false">Assumptions!$C$17*Assumptions!E18</f>
        <v>350</v>
      </c>
    </row>
    <row r="9" customFormat="false" ht="15" hidden="false" customHeight="false" outlineLevel="0" collapsed="false">
      <c r="B9" s="20" t="s">
        <v>70</v>
      </c>
      <c r="C9" s="22" t="n">
        <f aca="false">C5+C7</f>
        <v>7700</v>
      </c>
      <c r="D9" s="22" t="n">
        <f aca="false">D5+D7</f>
        <v>5900</v>
      </c>
      <c r="E9" s="22" t="n">
        <f aca="false">E5+E7</f>
        <v>4100</v>
      </c>
      <c r="F9" s="22" t="n">
        <f aca="false">F5+F7</f>
        <v>2300</v>
      </c>
      <c r="G9" s="22" t="n">
        <f aca="false">G5+G7</f>
        <v>500</v>
      </c>
    </row>
    <row r="10" customFormat="false" ht="15" hidden="false" customHeight="false" outlineLevel="0" collapsed="false">
      <c r="B10" s="5" t="s">
        <v>71</v>
      </c>
      <c r="C10" s="22" t="n">
        <f aca="false">Assumptions!$C$9+Assumptions!$C$12+C8</f>
        <v>3780</v>
      </c>
      <c r="D10" s="22" t="n">
        <f aca="false">Assumptions!$C$9+Assumptions!$C$12+D8</f>
        <v>3920</v>
      </c>
      <c r="E10" s="22" t="n">
        <f aca="false">Assumptions!$C$9+Assumptions!$C$12+E8</f>
        <v>4025</v>
      </c>
      <c r="F10" s="22" t="n">
        <f aca="false">Assumptions!$C$9+Assumptions!$C$12+F8</f>
        <v>4025</v>
      </c>
      <c r="G10" s="22" t="n">
        <f aca="false">Assumptions!$C$9+Assumptions!$C$12+G8</f>
        <v>4025</v>
      </c>
    </row>
    <row r="11" customFormat="false" ht="15" hidden="false" customHeight="false" outlineLevel="0" collapsed="false">
      <c r="B11" s="20" t="s">
        <v>72</v>
      </c>
      <c r="C11" s="24" t="n">
        <f aca="false">C9/C10</f>
        <v>2.03703703703704</v>
      </c>
      <c r="D11" s="24" t="n">
        <f aca="false">D9/D10</f>
        <v>1.50510204081633</v>
      </c>
      <c r="E11" s="24" t="n">
        <f aca="false">E9/E10</f>
        <v>1.01863354037267</v>
      </c>
      <c r="F11" s="24" t="n">
        <f aca="false">F9/F10</f>
        <v>0.571428571428571</v>
      </c>
      <c r="G11" s="24" t="n">
        <f aca="false">G9/G10</f>
        <v>0.124223602484472</v>
      </c>
    </row>
    <row r="13" customFormat="false" ht="15" hidden="false" customHeight="false" outlineLevel="0" collapsed="false">
      <c r="B13" s="1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2"/>
  </cols>
  <sheetData>
    <row r="2" customFormat="false" ht="17.35" hidden="false" customHeight="false" outlineLevel="0" collapsed="false">
      <c r="B2" s="13" t="s">
        <v>74</v>
      </c>
    </row>
    <row r="4" customFormat="false" ht="15" hidden="false" customHeight="false" outlineLevel="0" collapsed="false">
      <c r="B4" s="25"/>
      <c r="C4" s="23" t="s">
        <v>75</v>
      </c>
      <c r="D4" s="23" t="s">
        <v>76</v>
      </c>
      <c r="E4" s="23" t="s">
        <v>77</v>
      </c>
    </row>
    <row r="5" customFormat="false" ht="15" hidden="false" customHeight="false" outlineLevel="0" collapsed="false">
      <c r="B5" s="5" t="s">
        <v>78</v>
      </c>
      <c r="C5" s="8" t="n">
        <f aca="false">Assumptions!$C$7</f>
        <v>1278</v>
      </c>
      <c r="D5" s="8" t="n">
        <f aca="false">Assumptions!$C$7</f>
        <v>1278</v>
      </c>
      <c r="E5" s="8" t="n">
        <f aca="false">Assumptions!$C$7</f>
        <v>1278</v>
      </c>
    </row>
    <row r="6" customFormat="false" ht="15" hidden="false" customHeight="false" outlineLevel="0" collapsed="false">
      <c r="B6" s="5" t="s">
        <v>79</v>
      </c>
      <c r="C6" s="8" t="n">
        <f aca="false">Assumptions!$C$10+Assumptions!$C$11*(1-Assumptions!$C$21)</f>
        <v>1318.5</v>
      </c>
      <c r="D6" s="8" t="n">
        <f aca="false">Assumptions!$C$10+Assumptions!$C$11*(1-Assumptions!$C$21)</f>
        <v>1318.5</v>
      </c>
      <c r="E6" s="8" t="n">
        <f aca="false">Assumptions!$C$10+Assumptions!$C$11*(1-Assumptions!$C$21)</f>
        <v>1318.5</v>
      </c>
    </row>
    <row r="7" customFormat="false" ht="15" hidden="false" customHeight="false" outlineLevel="0" collapsed="false">
      <c r="B7" s="5" t="s">
        <v>80</v>
      </c>
      <c r="C7" s="22" t="n">
        <f aca="false">-Assumptions!$C$13*Assumptions!$C$14*(1-Assumptions!$C$21)</f>
        <v>-461.7</v>
      </c>
      <c r="D7" s="22" t="n">
        <f aca="false">-Assumptions!$C$13*Assumptions!$C$14*(1-Assumptions!$C$21)</f>
        <v>-461.7</v>
      </c>
      <c r="E7" s="22" t="n">
        <f aca="false">-Assumptions!$C$13*Assumptions!$C$14*(1-Assumptions!$C$21)</f>
        <v>-461.7</v>
      </c>
    </row>
    <row r="8" customFormat="false" ht="15" hidden="false" customHeight="false" outlineLevel="0" collapsed="false">
      <c r="B8" s="5" t="s">
        <v>81</v>
      </c>
      <c r="C8" s="22" t="n">
        <f aca="false">-Assumptions!$C$15*Assumptions!$C$16*(1-Assumptions!$C$21)</f>
        <v>-72.9</v>
      </c>
      <c r="D8" s="22" t="n">
        <f aca="false">-Assumptions!$C$15*Assumptions!$C$16*(1-Assumptions!$C$21)</f>
        <v>-72.9</v>
      </c>
      <c r="E8" s="22" t="n">
        <f aca="false">-Assumptions!$C$15*Assumptions!$C$16*(1-Assumptions!$C$21)</f>
        <v>-72.9</v>
      </c>
    </row>
    <row r="9" customFormat="false" ht="15" hidden="false" customHeight="false" outlineLevel="0" collapsed="false">
      <c r="B9" s="5" t="s">
        <v>82</v>
      </c>
      <c r="C9" s="8" t="n">
        <f aca="false">-PPA!C12</f>
        <v>-108</v>
      </c>
      <c r="D9" s="8" t="n">
        <f aca="false">-PPA!C12</f>
        <v>-108</v>
      </c>
      <c r="E9" s="8" t="n">
        <f aca="false">-PPA!C12</f>
        <v>-108</v>
      </c>
    </row>
    <row r="10" customFormat="false" ht="15" hidden="false" customHeight="false" outlineLevel="0" collapsed="false">
      <c r="B10" s="5" t="s">
        <v>83</v>
      </c>
      <c r="C10" s="22" t="n">
        <f aca="false">Assumptions!$C$17*Assumptions!C18*(1-Assumptions!$C$21)</f>
        <v>85.05</v>
      </c>
      <c r="D10" s="22" t="n">
        <f aca="false">Assumptions!$C$17*Assumptions!D18*(1-Assumptions!$C$21)</f>
        <v>198.45</v>
      </c>
      <c r="E10" s="22" t="n">
        <f aca="false">Assumptions!$C$17*Assumptions!E18*(1-Assumptions!$C$21)</f>
        <v>283.5</v>
      </c>
    </row>
    <row r="11" customFormat="false" ht="15" hidden="false" customHeight="false" outlineLevel="0" collapsed="false">
      <c r="B11" s="20" t="s">
        <v>84</v>
      </c>
      <c r="C11" s="21" t="n">
        <f aca="false">SUM(C5:C10)</f>
        <v>2038.95</v>
      </c>
      <c r="D11" s="21" t="n">
        <f aca="false">SUM(D5:D10)</f>
        <v>2152.35</v>
      </c>
      <c r="E11" s="21" t="n">
        <f aca="false">SUM(E5:E10)</f>
        <v>2237.4</v>
      </c>
    </row>
    <row r="13" customFormat="false" ht="15" hidden="false" customHeight="false" outlineLevel="0" collapsed="false">
      <c r="B13" s="5" t="s">
        <v>85</v>
      </c>
      <c r="C13" s="26" t="n">
        <f aca="false">Assumptions!$C$7/Assumptions!$C$8</f>
        <v>0.532655357812695</v>
      </c>
      <c r="D13" s="26" t="n">
        <f aca="false">Assumptions!$C$7/Assumptions!$C$8</f>
        <v>0.532655357812695</v>
      </c>
      <c r="E13" s="26" t="n">
        <f aca="false">Assumptions!$C$7/Assumptions!$C$8</f>
        <v>0.532655357812695</v>
      </c>
    </row>
    <row r="14" customFormat="false" ht="15" hidden="false" customHeight="false" outlineLevel="0" collapsed="false">
      <c r="B14" s="20" t="s">
        <v>86</v>
      </c>
      <c r="C14" s="27" t="n">
        <f aca="false">C11/Assumptions!$C$8</f>
        <v>0.849810361355395</v>
      </c>
      <c r="D14" s="27" t="n">
        <f aca="false">D11/Assumptions!$C$8</f>
        <v>0.897074146626099</v>
      </c>
      <c r="E14" s="27" t="n">
        <f aca="false">E11/Assumptions!$C$8</f>
        <v>0.932521985579127</v>
      </c>
    </row>
    <row r="15" customFormat="false" ht="15" hidden="false" customHeight="false" outlineLevel="0" collapsed="false">
      <c r="B15" s="5" t="s">
        <v>87</v>
      </c>
      <c r="C15" s="28" t="n">
        <f aca="false">C13*Assumptions!$C$6</f>
        <v>45.5420330929855</v>
      </c>
      <c r="D15" s="28" t="n">
        <f aca="false">D13*Assumptions!$C$6</f>
        <v>45.5420330929855</v>
      </c>
      <c r="E15" s="28" t="n">
        <f aca="false">E13*Assumptions!$C$6</f>
        <v>45.5420330929855</v>
      </c>
    </row>
    <row r="16" customFormat="false" ht="15" hidden="false" customHeight="false" outlineLevel="0" collapsed="false">
      <c r="B16" s="20" t="s">
        <v>88</v>
      </c>
      <c r="C16" s="29" t="n">
        <f aca="false">C14*Assumptions!$C$6</f>
        <v>72.6587858958863</v>
      </c>
      <c r="D16" s="29" t="n">
        <f aca="false">D14*Assumptions!$C$6</f>
        <v>76.6998395365315</v>
      </c>
      <c r="E16" s="29" t="n">
        <f aca="false">E14*Assumptions!$C$6</f>
        <v>79.7306297670154</v>
      </c>
    </row>
    <row r="17" customFormat="false" ht="15" hidden="false" customHeight="false" outlineLevel="0" collapsed="false">
      <c r="B17" s="20" t="s">
        <v>89</v>
      </c>
      <c r="C17" s="30" t="n">
        <f aca="false">C14/C13-1</f>
        <v>0.595422535211267</v>
      </c>
      <c r="D17" s="30" t="n">
        <f aca="false">D14/D13-1</f>
        <v>0.684154929577465</v>
      </c>
      <c r="E17" s="30" t="n">
        <f aca="false">E14/E13-1</f>
        <v>0.750704225352113</v>
      </c>
    </row>
    <row r="19" customFormat="false" ht="15" hidden="false" customHeight="false" outlineLevel="0" collapsed="false">
      <c r="B19" s="12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2026-07-27T08:50:56Z</dcterms:created>
  <dc:creator>openpyxl</dc:creator>
  <dc:description/>
  <dc:language>en-US</dc:language>
  <cp:lastModifiedBy/>
  <dcterms:modified xsi:type="dcterms:W3CDTF">2026-07-27T08:50:56Z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