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<sst xmlns="http://schemas.openxmlformats.org/spreadsheetml/2006/main" count="50" uniqueCount="42">
  <si>
    <t xml:space="preserve">Risk Register — Sun Pharma / Organon</t>
  </si>
  <si>
    <t xml:space="preserve">Risk</t>
  </si>
  <si>
    <t xml:space="preserve">Category</t>
  </si>
  <si>
    <t xml:space="preserve">Probability (1-5)</t>
  </si>
  <si>
    <t xml:space="preserve">Impact (1-5)</t>
  </si>
  <si>
    <t xml:space="preserve">Score</t>
  </si>
  <si>
    <t xml:space="preserve">Trend</t>
  </si>
  <si>
    <t xml:space="preserve">Mitigation</t>
  </si>
  <si>
    <t xml:space="preserve">Established-brands secular decline</t>
  </si>
  <si>
    <t xml:space="preserve">Commercial</t>
  </si>
  <si>
    <t xml:space="preserve">↑</t>
  </si>
  <si>
    <t xml:space="preserve">Tilt mix to Women's Health &amp; Biosimilars; low ~6.2x entry multiple gives margin of safety</t>
  </si>
  <si>
    <t xml:space="preserve">Refinancing / interest rates</t>
  </si>
  <si>
    <t xml:space="preserve">Financing</t>
  </si>
  <si>
    <t xml:space="preserve">$12bn committed bridge; term out early into bonds/loans; hedge rate exposure</t>
  </si>
  <si>
    <t xml:space="preserve">Nexplanon sales-practice probe / litigation</t>
  </si>
  <si>
    <t xml:space="preserve">Litigation</t>
  </si>
  <si>
    <t xml:space="preserve">→</t>
  </si>
  <si>
    <t xml:space="preserve">Diligence, reps &amp; warranties, indemnity/escrow, purchase-price protection</t>
  </si>
  <si>
    <t xml:space="preserve">Biosimilar price erosion</t>
  </si>
  <si>
    <t xml:space="preserve">Competition</t>
  </si>
  <si>
    <t xml:space="preserve">Sun low-cost, API-integrated manufacturing; scale advantage</t>
  </si>
  <si>
    <t xml:space="preserve">Cross-border integration</t>
  </si>
  <si>
    <t xml:space="preserve">Integration</t>
  </si>
  <si>
    <t xml:space="preserve">Dedicated integration office; retain Organon commercial team &amp; systems</t>
  </si>
  <si>
    <t xml:space="preserve">Synergy shortfall</t>
  </si>
  <si>
    <t xml:space="preserve">Execution</t>
  </si>
  <si>
    <t xml:space="preserve">Conservative underwrite; phased 30/70/100; procurement-led quick wins</t>
  </si>
  <si>
    <t xml:space="preserve">Currency (USD/INR, EUR)</t>
  </si>
  <si>
    <t xml:space="preserve">Currency</t>
  </si>
  <si>
    <t xml:space="preserve">USD debt matched to USD target cash flows (natural hedge); residual INR at parent</t>
  </si>
  <si>
    <t xml:space="preserve">Regulatory / antitrust</t>
  </si>
  <si>
    <t xml:space="preserve">Regulatory</t>
  </si>
  <si>
    <t xml:space="preserve">Low product overlap; multi-jurisdiction filings; India outbound approvals</t>
  </si>
  <si>
    <t xml:space="preserve">Macroeconomic / demand</t>
  </si>
  <si>
    <t xml:space="preserve">Macro</t>
  </si>
  <si>
    <t xml:space="preserve">Geographic diversification; defensive pharma demand</t>
  </si>
  <si>
    <t xml:space="preserve">Technology / pipeline</t>
  </si>
  <si>
    <t xml:space="preserve">Technology</t>
  </si>
  <si>
    <t xml:space="preserve">Established portfolio; modest reliance on new launches</t>
  </si>
  <si>
    <t xml:space="preserve">Score = Probability × Impact (1–25). Trend: ↑ rising, → stable, ↓ falling.</t>
  </si>
  <si>
    <t xml:space="preserve">Highest-priority (score ≥12): established-brands decline, refinancing/rates, Nexplanon probe, biosimilar erosion.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</si>
</sst>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44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2" t="s">
        <v>7</v>
      </c>
    </row>
    <row r="5" customFormat="false" ht="23.85" hidden="false" customHeight="false" outlineLevel="0" collapsed="false">
      <c r="B5" s="4" t="s">
        <v>8</v>
      </c>
      <c r="C5" s="4" t="s">
        <v>9</v>
      </c>
      <c r="D5" s="5" t="n">
        <v>4</v>
      </c>
      <c r="E5" s="5" t="n">
        <v>5</v>
      </c>
      <c r="F5" s="6" t="n">
        <f aca="false">D5*E5</f>
        <v>20</v>
      </c>
      <c r="G5" s="5" t="s">
        <v>10</v>
      </c>
      <c r="H5" s="4" t="s">
        <v>11</v>
      </c>
    </row>
    <row r="6" customFormat="false" ht="23.85" hidden="false" customHeight="false" outlineLevel="0" collapsed="false">
      <c r="B6" s="7" t="s">
        <v>12</v>
      </c>
      <c r="C6" s="7" t="s">
        <v>13</v>
      </c>
      <c r="D6" s="8" t="n">
        <v>3</v>
      </c>
      <c r="E6" s="8" t="n">
        <v>4</v>
      </c>
      <c r="F6" s="9" t="n">
        <f aca="false">D6*E6</f>
        <v>12</v>
      </c>
      <c r="G6" s="8" t="s">
        <v>10</v>
      </c>
      <c r="H6" s="7" t="s">
        <v>14</v>
      </c>
    </row>
    <row r="7" customFormat="false" ht="23.85" hidden="false" customHeight="false" outlineLevel="0" collapsed="false">
      <c r="B7" s="4" t="s">
        <v>15</v>
      </c>
      <c r="C7" s="4" t="s">
        <v>16</v>
      </c>
      <c r="D7" s="5" t="n">
        <v>3</v>
      </c>
      <c r="E7" s="5" t="n">
        <v>4</v>
      </c>
      <c r="F7" s="6" t="n">
        <f aca="false">D7*E7</f>
        <v>12</v>
      </c>
      <c r="G7" s="5" t="s">
        <v>17</v>
      </c>
      <c r="H7" s="4" t="s">
        <v>18</v>
      </c>
    </row>
    <row r="8" customFormat="false" ht="23.85" hidden="false" customHeight="false" outlineLevel="0" collapsed="false">
      <c r="B8" s="7" t="s">
        <v>19</v>
      </c>
      <c r="C8" s="7" t="s">
        <v>20</v>
      </c>
      <c r="D8" s="8" t="n">
        <v>4</v>
      </c>
      <c r="E8" s="8" t="n">
        <v>3</v>
      </c>
      <c r="F8" s="9" t="n">
        <f aca="false">D8*E8</f>
        <v>12</v>
      </c>
      <c r="G8" s="8" t="s">
        <v>10</v>
      </c>
      <c r="H8" s="7" t="s">
        <v>21</v>
      </c>
    </row>
    <row r="9" customFormat="false" ht="23.85" hidden="false" customHeight="false" outlineLevel="0" collapsed="false">
      <c r="B9" s="4" t="s">
        <v>22</v>
      </c>
      <c r="C9" s="4" t="s">
        <v>23</v>
      </c>
      <c r="D9" s="5" t="n">
        <v>3</v>
      </c>
      <c r="E9" s="5" t="n">
        <v>3</v>
      </c>
      <c r="F9" s="6" t="n">
        <f aca="false">D9*E9</f>
        <v>9</v>
      </c>
      <c r="G9" s="5" t="s">
        <v>17</v>
      </c>
      <c r="H9" s="4" t="s">
        <v>24</v>
      </c>
    </row>
    <row r="10" customFormat="false" ht="23.85" hidden="false" customHeight="false" outlineLevel="0" collapsed="false">
      <c r="B10" s="7" t="s">
        <v>25</v>
      </c>
      <c r="C10" s="7" t="s">
        <v>26</v>
      </c>
      <c r="D10" s="8" t="n">
        <v>3</v>
      </c>
      <c r="E10" s="8" t="n">
        <v>3</v>
      </c>
      <c r="F10" s="9" t="n">
        <f aca="false">D10*E10</f>
        <v>9</v>
      </c>
      <c r="G10" s="8" t="s">
        <v>17</v>
      </c>
      <c r="H10" s="7" t="s">
        <v>27</v>
      </c>
    </row>
    <row r="11" customFormat="false" ht="23.85" hidden="false" customHeight="false" outlineLevel="0" collapsed="false">
      <c r="B11" s="4" t="s">
        <v>28</v>
      </c>
      <c r="C11" s="4" t="s">
        <v>29</v>
      </c>
      <c r="D11" s="5" t="n">
        <v>4</v>
      </c>
      <c r="E11" s="5" t="n">
        <v>2</v>
      </c>
      <c r="F11" s="6" t="n">
        <f aca="false">D11*E11</f>
        <v>8</v>
      </c>
      <c r="G11" s="5" t="s">
        <v>17</v>
      </c>
      <c r="H11" s="4" t="s">
        <v>30</v>
      </c>
    </row>
    <row r="12" customFormat="false" ht="23.85" hidden="false" customHeight="false" outlineLevel="0" collapsed="false">
      <c r="B12" s="7" t="s">
        <v>31</v>
      </c>
      <c r="C12" s="7" t="s">
        <v>32</v>
      </c>
      <c r="D12" s="8" t="n">
        <v>2</v>
      </c>
      <c r="E12" s="8" t="n">
        <v>3</v>
      </c>
      <c r="F12" s="9" t="n">
        <f aca="false">D12*E12</f>
        <v>6</v>
      </c>
      <c r="G12" s="8" t="s">
        <v>17</v>
      </c>
      <c r="H12" s="7" t="s">
        <v>33</v>
      </c>
    </row>
    <row r="13" customFormat="false" ht="15" hidden="false" customHeight="false" outlineLevel="0" collapsed="false">
      <c r="B13" s="4" t="s">
        <v>34</v>
      </c>
      <c r="C13" s="4" t="s">
        <v>35</v>
      </c>
      <c r="D13" s="5" t="n">
        <v>2</v>
      </c>
      <c r="E13" s="5" t="n">
        <v>3</v>
      </c>
      <c r="F13" s="6" t="n">
        <f aca="false">D13*E13</f>
        <v>6</v>
      </c>
      <c r="G13" s="5" t="s">
        <v>17</v>
      </c>
      <c r="H13" s="4" t="s">
        <v>36</v>
      </c>
    </row>
    <row r="14" customFormat="false" ht="23.85" hidden="false" customHeight="false" outlineLevel="0" collapsed="false">
      <c r="B14" s="7" t="s">
        <v>37</v>
      </c>
      <c r="C14" s="7" t="s">
        <v>38</v>
      </c>
      <c r="D14" s="8" t="n">
        <v>2</v>
      </c>
      <c r="E14" s="8" t="n">
        <v>2</v>
      </c>
      <c r="F14" s="9" t="n">
        <f aca="false">D14*E14</f>
        <v>4</v>
      </c>
      <c r="G14" s="8" t="s">
        <v>17</v>
      </c>
      <c r="H14" s="7" t="s">
        <v>39</v>
      </c>
    </row>
    <row r="16" customFormat="false" ht="15" hidden="false" customHeight="false" outlineLevel="0" collapsed="false">
      <c r="B16" s="10" t="s">
        <v>40</v>
      </c>
    </row>
    <row r="17" customFormat="false" ht="15" hidden="false" customHeight="false" outlineLevel="0" collapsed="false">
      <c r="B17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2026-07-27T08:56:08Z</dcterms:created>
  <dc:creator>openpyxl</dc:creator>
  <dc:description/>
  <dc:language>en-US</dc:language>
  <cp:lastModifiedBy/>
  <dcterms:modified xsi:type="dcterms:W3CDTF">2026-07-27T08:56:08Z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