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n_Pharma" sheetId="1" state="visible" r:id="rId3"/>
    <sheet name="Organon" sheetId="2" state="visible" r:id="rId4"/>
    <sheet name="Rati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<sst xmlns="http://schemas.openxmlformats.org/spreadsheetml/2006/main" count="46" uniqueCount="40">
  <si>
    <t xml:space="preserve">Sun Pharma — Five-Year Financials</t>
  </si>
  <si>
    <t xml:space="preserve">INR crore (Mar-YE)</t>
  </si>
  <si>
    <t xml:space="preserve">FY21</t>
  </si>
  <si>
    <t xml:space="preserve">FY22</t>
  </si>
  <si>
    <t xml:space="preserve">FY23</t>
  </si>
  <si>
    <t xml:space="preserve">FY24</t>
  </si>
  <si>
    <t xml:space="preserve">FY25</t>
  </si>
  <si>
    <t xml:space="preserve">Revenue</t>
  </si>
  <si>
    <t xml:space="preserve">EBITDA</t>
  </si>
  <si>
    <t xml:space="preserve">EBITDA margin</t>
  </si>
  <si>
    <t xml:space="preserve">Net profit</t>
  </si>
  <si>
    <t xml:space="preserve">Net margin</t>
  </si>
  <si>
    <t xml:space="preserve">Revenue growth (YoY)</t>
  </si>
  <si>
    <t xml:space="preserve">Revenue CAGR FY21–FY25</t>
  </si>
  <si>
    <t xml:space="preserve">EBITDA FY21/FY22/FY24 approx (rev×est margin); FY23 &amp; FY25 reported. Tie to annual reports.</t>
  </si>
  <si>
    <t xml:space="preserve">Organon — Five-Year Financials</t>
  </si>
  <si>
    <t xml:space="preserve">US$ mm (Dec-YE)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</si>
  <si>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</si>
  <si>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</si>
  <si>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</si>
  <si>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</si>
  <si>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</si>
  <si>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Adj. EBITDA</t>
  </si>
  <si>
    <t xml:space="preserve">Adj. EBITDA margin</t>
  </si>
  <si>
    <t xml:space="preserve">GAAP net income</t>
  </si>
  <si>
    <t xml:space="preserve">n/a</t>
  </si>
  <si>
    <t xml:space="preserve">FCF before one-time</t>
  </si>
  <si>
    <t xml:space="preserve">Gross debt</t>
  </si>
  <si>
    <t xml:space="preserve">Cash</t>
  </si>
  <si>
    <t xml:space="preserve">Net debt</t>
  </si>
  <si>
    <t xml:space="preserve">Net debt / Adj. EBITDA</t>
  </si>
  <si>
    <t xml:space="preserve">Adj. EBITDA 2021–22 estimated; 2023–25 reported. GAAP NI 2021–22 n/a (confirm 10-K).</t>
  </si>
  <si>
    <t xml:space="preserve">Comparative Ratios — FY2025</t>
  </si>
  <si>
    <t xml:space="preserve">Metric</t>
  </si>
  <si>
    <t xml:space="preserve">Sun Pharma</t>
  </si>
  <si>
    <t xml:space="preserve">Organon</t>
  </si>
  <si>
    <t xml:space="preserve">Net debt / EBITDA</t>
  </si>
  <si>
    <t xml:space="preserve">FCF before one-time ($mm)</t>
  </si>
  <si>
    <t xml:space="preserve">n/a (INR reporter)</t>
  </si>
  <si>
    <t xml:space="preserve">Sun net leverage shown as ~(1.7x) net cash (INR reporter; illustrative). Organon linked from sheet.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</si>
</sst>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.0%"/>
    <numFmt numFmtId="167" formatCode="\$#,##0;&quot;($&quot;#,##0\);\-"/>
    <numFmt numFmtId="168" formatCode="0.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7" min="3" style="0" width="12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</row>
    <row r="5" customFormat="false" ht="15" hidden="false" customHeight="false" outlineLevel="0" collapsed="false">
      <c r="B5" s="4" t="s">
        <v>7</v>
      </c>
      <c r="C5" s="5" t="n">
        <v>33498</v>
      </c>
      <c r="D5" s="5" t="n">
        <v>38654</v>
      </c>
      <c r="E5" s="5" t="n">
        <v>43279</v>
      </c>
      <c r="F5" s="5" t="n">
        <v>48497</v>
      </c>
      <c r="G5" s="5" t="n">
        <v>52041</v>
      </c>
    </row>
    <row r="6" customFormat="false" ht="15" hidden="false" customHeight="false" outlineLevel="0" collapsed="false">
      <c r="B6" s="4" t="s">
        <v>8</v>
      </c>
      <c r="C6" s="5" t="n">
        <v>8040</v>
      </c>
      <c r="D6" s="5" t="n">
        <v>9664</v>
      </c>
      <c r="E6" s="5" t="n">
        <v>11647</v>
      </c>
      <c r="F6" s="5" t="n">
        <v>13337</v>
      </c>
      <c r="G6" s="5" t="n">
        <v>15092</v>
      </c>
    </row>
    <row r="7" customFormat="false" ht="15" hidden="false" customHeight="false" outlineLevel="0" collapsed="false">
      <c r="B7" s="4" t="s">
        <v>9</v>
      </c>
      <c r="C7" s="6" t="n">
        <f aca="false">C6/C5</f>
        <v>0.240014329213684</v>
      </c>
      <c r="D7" s="6" t="n">
        <f aca="false">D6/D5</f>
        <v>0.250012935271899</v>
      </c>
      <c r="E7" s="6" t="n">
        <f aca="false">E6/E5</f>
        <v>0.269114351070958</v>
      </c>
      <c r="F7" s="6" t="n">
        <f aca="false">F6/F5</f>
        <v>0.27500670144545</v>
      </c>
      <c r="G7" s="6" t="n">
        <f aca="false">G6/G5</f>
        <v>0.29000211371803</v>
      </c>
    </row>
    <row r="8" customFormat="false" ht="15" hidden="false" customHeight="false" outlineLevel="0" collapsed="false">
      <c r="B8" s="4" t="s">
        <v>10</v>
      </c>
      <c r="C8" s="5" t="n">
        <v>2904</v>
      </c>
      <c r="D8" s="5" t="n">
        <v>3273</v>
      </c>
      <c r="E8" s="5" t="n">
        <v>8474</v>
      </c>
      <c r="F8" s="5" t="n">
        <v>9576</v>
      </c>
      <c r="G8" s="5" t="n">
        <v>10929</v>
      </c>
    </row>
    <row r="9" customFormat="false" ht="15" hidden="false" customHeight="false" outlineLevel="0" collapsed="false">
      <c r="B9" s="4" t="s">
        <v>11</v>
      </c>
      <c r="C9" s="6" t="n">
        <f aca="false">C8/C5</f>
        <v>0.0866917427906144</v>
      </c>
      <c r="D9" s="6" t="n">
        <f aca="false">D8/D5</f>
        <v>0.0846742898535727</v>
      </c>
      <c r="E9" s="6" t="n">
        <f aca="false">E8/E5</f>
        <v>0.19579934841378</v>
      </c>
      <c r="F9" s="6" t="n">
        <f aca="false">F8/F5</f>
        <v>0.197455512712127</v>
      </c>
      <c r="G9" s="6" t="n">
        <f aca="false">G8/G5</f>
        <v>0.210007494091197</v>
      </c>
    </row>
    <row r="10" customFormat="false" ht="15" hidden="false" customHeight="false" outlineLevel="0" collapsed="false">
      <c r="B10" s="4" t="s">
        <v>12</v>
      </c>
      <c r="D10" s="6" t="n">
        <f aca="false">D5/C5-1</f>
        <v>0.153919636993253</v>
      </c>
      <c r="E10" s="6" t="n">
        <f aca="false">E5/D5-1</f>
        <v>0.119651265069592</v>
      </c>
      <c r="F10" s="6" t="n">
        <f aca="false">F5/E5-1</f>
        <v>0.120566556528571</v>
      </c>
      <c r="G10" s="6" t="n">
        <f aca="false">G5/F5-1</f>
        <v>0.0730766851557829</v>
      </c>
    </row>
    <row r="12" customFormat="false" ht="15" hidden="false" customHeight="false" outlineLevel="0" collapsed="false">
      <c r="B12" s="4" t="s">
        <v>13</v>
      </c>
      <c r="C12" s="6" t="n">
        <f aca="false">(G5/C5)^(1/4)-1</f>
        <v>0.116430490185375</v>
      </c>
    </row>
    <row r="14" customFormat="false" ht="15" hidden="false" customHeight="false" outlineLevel="0" collapsed="false">
      <c r="B14" s="7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7" min="3" style="0" width="12"/>
  </cols>
  <sheetData>
    <row r="2" customFormat="false" ht="17.35" hidden="false" customHeight="false" outlineLevel="0" collapsed="false">
      <c r="B2" s="1" t="s">
        <v>15</v>
      </c>
    </row>
    <row r="4" customFormat="false" ht="15" hidden="false" customHeight="false" outlineLevel="0" collapsed="false">
      <c r="B4" s="2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</row>
    <row r="5" customFormat="false" ht="15" hidden="false" customHeight="false" outlineLevel="0" collapsed="false">
      <c r="B5" s="4" t="s">
        <v>7</v>
      </c>
      <c r="C5" s="8" t="n">
        <v>6304</v>
      </c>
      <c r="D5" s="8" t="n">
        <v>6174</v>
      </c>
      <c r="E5" s="8" t="n">
        <v>6263</v>
      </c>
      <c r="F5" s="8" t="n">
        <v>6403</v>
      </c>
      <c r="G5" s="8" t="n">
        <v>6216</v>
      </c>
    </row>
    <row r="6" customFormat="false" ht="15" hidden="false" customHeight="false" outlineLevel="0" collapsed="false">
      <c r="B6" s="4" t="s">
        <v>22</v>
      </c>
      <c r="C6" s="8" t="n">
        <v>2270</v>
      </c>
      <c r="D6" s="8" t="n">
        <v>2100</v>
      </c>
      <c r="E6" s="8" t="n">
        <v>1900</v>
      </c>
      <c r="F6" s="8" t="n">
        <v>1960</v>
      </c>
      <c r="G6" s="8" t="n">
        <v>1910</v>
      </c>
    </row>
    <row r="7" customFormat="false" ht="15" hidden="false" customHeight="false" outlineLevel="0" collapsed="false">
      <c r="B7" s="4" t="s">
        <v>23</v>
      </c>
      <c r="C7" s="6" t="n">
        <f aca="false">C6/C5</f>
        <v>0.36008883248731</v>
      </c>
      <c r="D7" s="6" t="n">
        <f aca="false">D6/D5</f>
        <v>0.340136054421769</v>
      </c>
      <c r="E7" s="6" t="n">
        <f aca="false">E6/E5</f>
        <v>0.303368992495609</v>
      </c>
      <c r="F7" s="6" t="n">
        <f aca="false">F6/F5</f>
        <v>0.306106512572232</v>
      </c>
      <c r="G7" s="6" t="n">
        <f aca="false">G6/G5</f>
        <v>0.307271557271557</v>
      </c>
    </row>
    <row r="8" customFormat="false" ht="15" hidden="false" customHeight="false" outlineLevel="0" collapsed="false">
      <c r="B8" s="4" t="s">
        <v>24</v>
      </c>
      <c r="C8" s="8" t="s">
        <v>25</v>
      </c>
      <c r="D8" s="8" t="s">
        <v>25</v>
      </c>
      <c r="E8" s="8" t="n">
        <v>1027</v>
      </c>
      <c r="F8" s="8" t="n">
        <v>864</v>
      </c>
      <c r="G8" s="8" t="n">
        <v>187</v>
      </c>
    </row>
    <row r="9" customFormat="false" ht="15" hidden="false" customHeight="false" outlineLevel="0" collapsed="false">
      <c r="B9" s="4" t="s">
        <v>26</v>
      </c>
      <c r="C9" s="8" t="s">
        <v>25</v>
      </c>
      <c r="D9" s="8" t="n">
        <v>875</v>
      </c>
      <c r="E9" s="8" t="n">
        <v>1000</v>
      </c>
      <c r="F9" s="8" t="n">
        <v>967</v>
      </c>
      <c r="G9" s="8" t="n">
        <v>900</v>
      </c>
    </row>
    <row r="10" customFormat="false" ht="15" hidden="false" customHeight="false" outlineLevel="0" collapsed="false">
      <c r="B10" s="4" t="s">
        <v>12</v>
      </c>
      <c r="D10" s="6" t="n">
        <f aca="false">D5/C5-1</f>
        <v>-0.0206218274111675</v>
      </c>
      <c r="E10" s="6" t="n">
        <f aca="false">E5/D5-1</f>
        <v>0.0144152899254939</v>
      </c>
      <c r="F10" s="6" t="n">
        <f aca="false">F5/E5-1</f>
        <v>0.0223535047102028</v>
      </c>
      <c r="G10" s="6" t="n">
        <f aca="false">G5/F5-1</f>
        <v>-0.029205060128065</v>
      </c>
    </row>
    <row r="11" customFormat="false" ht="15" hidden="false" customHeight="false" outlineLevel="0" collapsed="false">
      <c r="B11" s="4" t="s">
        <v>27</v>
      </c>
      <c r="C11" s="8" t="n">
        <v>9134</v>
      </c>
      <c r="D11" s="8" t="n">
        <v>8913</v>
      </c>
      <c r="E11" s="8" t="n">
        <v>8900</v>
      </c>
      <c r="F11" s="8" t="n">
        <v>8880</v>
      </c>
      <c r="G11" s="8" t="n">
        <v>8640</v>
      </c>
    </row>
    <row r="12" customFormat="false" ht="15" hidden="false" customHeight="false" outlineLevel="0" collapsed="false">
      <c r="B12" s="4" t="s">
        <v>28</v>
      </c>
      <c r="C12" s="8" t="n">
        <v>737</v>
      </c>
      <c r="D12" s="8" t="n">
        <v>706</v>
      </c>
      <c r="E12" s="8" t="n">
        <v>650</v>
      </c>
      <c r="F12" s="8" t="n">
        <v>690</v>
      </c>
      <c r="G12" s="8" t="n">
        <v>574</v>
      </c>
    </row>
    <row r="13" customFormat="false" ht="15" hidden="false" customHeight="false" outlineLevel="0" collapsed="false">
      <c r="B13" s="4" t="s">
        <v>29</v>
      </c>
      <c r="C13" s="9" t="n">
        <f aca="false">C11-C12</f>
        <v>8397</v>
      </c>
      <c r="D13" s="9" t="n">
        <f aca="false">D11-D12</f>
        <v>8207</v>
      </c>
      <c r="E13" s="9" t="n">
        <f aca="false">E11-E12</f>
        <v>8250</v>
      </c>
      <c r="F13" s="9" t="n">
        <f aca="false">F11-F12</f>
        <v>8190</v>
      </c>
      <c r="G13" s="9" t="n">
        <f aca="false">G11-G12</f>
        <v>8066</v>
      </c>
    </row>
    <row r="14" customFormat="false" ht="15" hidden="false" customHeight="false" outlineLevel="0" collapsed="false">
      <c r="B14" s="4" t="s">
        <v>30</v>
      </c>
      <c r="C14" s="10" t="n">
        <f aca="false">C13/C6</f>
        <v>3.69911894273128</v>
      </c>
      <c r="D14" s="10" t="n">
        <f aca="false">D13/D6</f>
        <v>3.90809523809524</v>
      </c>
      <c r="E14" s="10" t="n">
        <f aca="false">E13/E6</f>
        <v>4.3421052631579</v>
      </c>
      <c r="F14" s="10" t="n">
        <f aca="false">F13/F6</f>
        <v>4.17857142857143</v>
      </c>
      <c r="G14" s="10" t="n">
        <f aca="false">G13/G6</f>
        <v>4.22303664921466</v>
      </c>
    </row>
    <row r="16" customFormat="false" ht="15" hidden="false" customHeight="false" outlineLevel="0" collapsed="false">
      <c r="B16" s="7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4" min="3" style="0" width="16"/>
  </cols>
  <sheetData>
    <row r="2" customFormat="false" ht="17.35" hidden="false" customHeight="false" outlineLevel="0" collapsed="false">
      <c r="B2" s="1" t="s">
        <v>32</v>
      </c>
    </row>
    <row r="4" customFormat="false" ht="15" hidden="false" customHeight="false" outlineLevel="0" collapsed="false">
      <c r="B4" s="11" t="s">
        <v>33</v>
      </c>
      <c r="C4" s="3" t="s">
        <v>34</v>
      </c>
      <c r="D4" s="3" t="s">
        <v>35</v>
      </c>
    </row>
    <row r="5" customFormat="false" ht="15" hidden="false" customHeight="false" outlineLevel="0" collapsed="false">
      <c r="B5" s="4" t="s">
        <v>12</v>
      </c>
      <c r="C5" s="12" t="n">
        <f aca="false">Sun_Pharma!G10</f>
        <v>0.0730766851557829</v>
      </c>
      <c r="D5" s="12" t="n">
        <f aca="false">Organon!G10</f>
        <v>-0.029205060128065</v>
      </c>
    </row>
    <row r="6" customFormat="false" ht="15" hidden="false" customHeight="false" outlineLevel="0" collapsed="false">
      <c r="B6" s="4" t="s">
        <v>9</v>
      </c>
      <c r="C6" s="12" t="n">
        <f aca="false">Sun_Pharma!G7</f>
        <v>0.29000211371803</v>
      </c>
      <c r="D6" s="12" t="n">
        <f aca="false">Organon!G7</f>
        <v>0.307271557271557</v>
      </c>
    </row>
    <row r="7" customFormat="false" ht="15" hidden="false" customHeight="false" outlineLevel="0" collapsed="false">
      <c r="B7" s="4" t="s">
        <v>36</v>
      </c>
      <c r="C7" s="10" t="n">
        <f aca="false">-Sun_Pharma!G6*0+(-1.7)</f>
        <v>-1.7</v>
      </c>
      <c r="D7" s="13" t="n">
        <f aca="false">Organon!G14</f>
        <v>4.22303664921466</v>
      </c>
    </row>
    <row r="8" customFormat="false" ht="15" hidden="false" customHeight="false" outlineLevel="0" collapsed="false">
      <c r="B8" s="4" t="s">
        <v>37</v>
      </c>
      <c r="C8" s="14" t="s">
        <v>38</v>
      </c>
      <c r="D8" s="15" t="n">
        <f aca="false">Organon!G9</f>
        <v>900</v>
      </c>
    </row>
    <row r="10" customFormat="false" ht="15" hidden="false" customHeight="false" outlineLevel="0" collapsed="false">
      <c r="B10" s="7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2026-07-27T05:52:54Z</dcterms:created>
  <dc:creator>openpyxl</dc:creator>
  <dc:description/>
  <dc:language>en-US</dc:language>
  <cp:lastModifiedBy/>
  <dcterms:modified xsi:type="dcterms:W3CDTF">2026-07-27T05:52:55Z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