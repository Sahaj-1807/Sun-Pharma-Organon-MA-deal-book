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CF" sheetId="3" state="visible" r:id="rId5"/>
    <sheet name="Sensitivity" sheetId="4" state="visible" r:id="rId6"/>
    <sheet name="Trading Comps" sheetId="5" state="visible" r:id="rId7"/>
    <sheet name="Precedents" sheetId="6" state="visible" r:id="rId8"/>
    <sheet name="Football Fiel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<sst xmlns="http://schemas.openxmlformats.org/spreadsheetml/2006/main" count="121" uniqueCount="104">
  <si>
    <t xml:space="preserve">SUN PHARMA / ORGANON</t>
  </si>
  <si>
    <t xml:space="preserve">Valuation Model — Chapter 7</t>
  </si>
  <si>
    <t xml:space="preserve">All-cash acquisition · $14.00/share · EV ~$11.75bn</t>
  </si>
  <si>
    <t xml:space="preserve">KEY OUTPUTS</t>
  </si>
  <si>
    <t xml:space="preserve">Enterprise value ($mm)</t>
  </si>
  <si>
    <t xml:space="preserve">Equity value ($mm)</t>
  </si>
  <si>
    <t xml:space="preserve">Equity value per share ($)</t>
  </si>
  <si>
    <t xml:space="preserve">Offer price ($/share)</t>
  </si>
  <si>
    <t xml:space="preserve">Premium/(discount) to offer</t>
  </si>
  <si>
    <t xml:space="preserve">WACC (base)</t>
  </si>
  <si>
    <t xml:space="preserve">COLOUR LEGEND</t>
  </si>
  <si>
    <t xml:space="preserve">Blue = input / assumption</t>
  </si>
  <si>
    <t xml:space="preserve">Black = formula</t>
  </si>
  <si>
    <t xml:space="preserve">Green = link to another sheet</t>
  </si>
  <si>
    <t xml:space="preserve">Confidential — prepared for educational purposes only. Analyst estimates; see report Ch.7 for sources.</t>
  </si>
  <si>
    <t xml:space="preserve">Sun Pharma / Organon — Valuation Model</t>
  </si>
  <si>
    <t xml:space="preserve">Assumptions (blue = input, black = formula, green = link)</t>
  </si>
  <si>
    <t xml:space="preserve">OPERATING ASSUMPTIONS</t>
  </si>
  <si>
    <t xml:space="preserve">Base revenue FY2025 ($mm)</t>
  </si>
  <si>
    <t xml:space="preserve">EBITDA margin (%)</t>
  </si>
  <si>
    <t xml:space="preserve">D&amp;A ($mm)</t>
  </si>
  <si>
    <t xml:space="preserve">Capex ($mm)</t>
  </si>
  <si>
    <t xml:space="preserve">Change in NWC ($mm)</t>
  </si>
  <si>
    <t xml:space="preserve">Tax rate (%)</t>
  </si>
  <si>
    <t xml:space="preserve">Terminal exit EV/EBITDA (x)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</si>
  <si>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</si>
  <si>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</si>
  <si>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</si>
  <si>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</si>
  <si>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</si>
  <si>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Revenue growth by year</t>
  </si>
  <si>
    <t xml:space="preserve">WACC BUILD</t>
  </si>
  <si>
    <t xml:space="preserve">Risk-free rate (US 10-yr)</t>
  </si>
  <si>
    <t xml:space="preserve">Equity risk premium</t>
  </si>
  <si>
    <t xml:space="preserve">Beta (levered)</t>
  </si>
  <si>
    <t xml:space="preserve">Cost of equity (CAPM)</t>
  </si>
  <si>
    <t xml:space="preserve">Pre-tax cost of debt</t>
  </si>
  <si>
    <t xml:space="preserve">After-tax cost of debt</t>
  </si>
  <si>
    <t xml:space="preserve">Weight of equity</t>
  </si>
  <si>
    <t xml:space="preserve">Weight of debt</t>
  </si>
  <si>
    <t xml:space="preserve">WACC (CAPM)</t>
  </si>
  <si>
    <t xml:space="preserve">Company-specific premium</t>
  </si>
  <si>
    <t xml:space="preserve">WACC (base case)</t>
  </si>
  <si>
    <t xml:space="preserve">CAPITALIZATION</t>
  </si>
  <si>
    <t xml:space="preserve">Shares outstanding (mm)</t>
  </si>
  <si>
    <t xml:space="preserve">Net debt ($mm)</t>
  </si>
  <si>
    <t xml:space="preserve">Note: analyst assumptions anchored on FY2025 actuals; see report Ch.7.</t>
  </si>
  <si>
    <t xml:space="preserve">Discounted Cash Flow</t>
  </si>
  <si>
    <t xml:space="preserve">US$ mm</t>
  </si>
  <si>
    <t xml:space="preserve">Period</t>
  </si>
  <si>
    <t xml:space="preserve">Revenue</t>
  </si>
  <si>
    <t xml:space="preserve">EBITDA</t>
  </si>
  <si>
    <t xml:space="preserve">less: D&amp;A</t>
  </si>
  <si>
    <t xml:space="preserve">EBIT</t>
  </si>
  <si>
    <t xml:space="preserve">NOPAT</t>
  </si>
  <si>
    <t xml:space="preserve">add: D&amp;A</t>
  </si>
  <si>
    <t xml:space="preserve">less: Capex</t>
  </si>
  <si>
    <t xml:space="preserve">less: Change in NWC</t>
  </si>
  <si>
    <t xml:space="preserve">Unlevered FCF</t>
  </si>
  <si>
    <t xml:space="preserve">Discount factor</t>
  </si>
  <si>
    <t xml:space="preserve">PV of UFCF</t>
  </si>
  <si>
    <t xml:space="preserve">DCF SUMMARY</t>
  </si>
  <si>
    <t xml:space="preserve">Sum PV of UFCF (2026–30)</t>
  </si>
  <si>
    <t xml:space="preserve">Terminal value (exit x EBITDA30)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</si>
  <si>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</si>
  <si>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</si>
  <si>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</si>
  <si>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</si>
  <si>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Shares (mm)</t>
  </si>
  <si>
    <t xml:space="preserve">Equity value per share</t>
  </si>
  <si>
    <t xml:space="preserve">DCF Sensitivity — Equity Value / Share ($)</t>
  </si>
  <si>
    <t xml:space="preserve">Exit x  \  WACC</t>
  </si>
  <si>
    <t xml:space="preserve">Offer price $14.00/share. Shaded region (higher WACC / lower exit) covers the offer.</t>
  </si>
  <si>
    <t xml:space="preserve">Trading Comparables</t>
  </si>
  <si>
    <t xml:space="preserve">Organon FY25 Adj. EBITDA ($mm)</t>
  </si>
  <si>
    <t xml:space="preserve">Peer</t>
  </si>
  <si>
    <t xml:space="preserve">EV/EBITDA</t>
  </si>
  <si>
    <t xml:space="preserve">Viatris</t>
  </si>
  <si>
    <t xml:space="preserve">Teva</t>
  </si>
  <si>
    <t xml:space="preserve">Hikma</t>
  </si>
  <si>
    <t xml:space="preserve">Dr Reddy's</t>
  </si>
  <si>
    <t xml:space="preserve">Cipla</t>
  </si>
  <si>
    <t xml:space="preserve">Median (Western: Viatris/Teva/Hikma)</t>
  </si>
  <si>
    <t xml:space="preserve">Relevant range — low (x)</t>
  </si>
  <si>
    <t xml:space="preserve">Relevant range — high (x)</t>
  </si>
  <si>
    <t xml:space="preserve">Implied EV — low ($mm)</t>
  </si>
  <si>
    <t xml:space="preserve">Implied EV — high ($mm)</t>
  </si>
  <si>
    <t xml:space="preserve">Implied equity/share — low ($)</t>
  </si>
  <si>
    <t xml:space="preserve">Implied equity/share — high ($)</t>
  </si>
  <si>
    <t xml:space="preserve">Peer multiples illustrative/approx.; tie to latest filings. Indian peers (premium) excluded from range.</t>
  </si>
  <si>
    <t xml:space="preserve">Precedent Transactions</t>
  </si>
  <si>
    <t xml:space="preserve">Precedent</t>
  </si>
  <si>
    <t xml:space="preserve">Mylan + Upjohn → Viatris (2020)</t>
  </si>
  <si>
    <t xml:space="preserve">STADA / Bain-Cinven (2017)</t>
  </si>
  <si>
    <t xml:space="preserve">Teva / Allergan Generics (2016)</t>
  </si>
  <si>
    <t xml:space="preserve">Precedent multiples approximate; growth/scarcity in precedents overstates a declining asset.</t>
  </si>
  <si>
    <t xml:space="preserve">Football Field — Equity Value / Share ($)</t>
  </si>
  <si>
    <t xml:space="preserve">Methodology</t>
  </si>
  <si>
    <t xml:space="preserve">Low</t>
  </si>
  <si>
    <t xml:space="preserve">High</t>
  </si>
  <si>
    <t xml:space="preserve">DCF (WACC 8.5–9.5%, exit 5.5–6.5x)</t>
  </si>
  <si>
    <t xml:space="preserve">Trading comps (6.0–7.5x)</t>
  </si>
  <si>
    <t xml:space="preserve">Precedent txns (7.0–9.0x)</t>
  </si>
  <si>
    <t xml:space="preserve">52-week trading range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</si>
</sst>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\$#,##0.00;&quot;($&quot;#,##0.00\);\-"/>
    <numFmt numFmtId="167" formatCode="0.0%"/>
    <numFmt numFmtId="168" formatCode="0.0\x"/>
    <numFmt numFmtId="169" formatCode="0.00"/>
    <numFmt numFmtId="170" formatCode="#,##0"/>
    <numFmt numFmtId="171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40404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6E6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6" t="n">
        <f aca="false">DCF!C21</f>
        <v>12382.6225829992</v>
      </c>
    </row>
    <row r="8" customFormat="false" ht="15" hidden="false" customHeight="false" outlineLevel="0" collapsed="false">
      <c r="B8" s="5" t="s">
        <v>5</v>
      </c>
      <c r="C8" s="6" t="n">
        <f aca="false">DCF!C23</f>
        <v>4282.62258299918</v>
      </c>
    </row>
    <row r="9" customFormat="false" ht="15" hidden="false" customHeight="false" outlineLevel="0" collapsed="false">
      <c r="B9" s="5" t="s">
        <v>6</v>
      </c>
      <c r="C9" s="7" t="n">
        <f aca="false">DCF!C25</f>
        <v>16.4716253192276</v>
      </c>
    </row>
    <row r="10" customFormat="false" ht="15" hidden="false" customHeight="false" outlineLevel="0" collapsed="false">
      <c r="B10" s="5" t="s">
        <v>7</v>
      </c>
      <c r="C10" s="7" t="n">
        <f aca="false">DCF!C26</f>
        <v>14</v>
      </c>
    </row>
    <row r="11" customFormat="false" ht="15" hidden="false" customHeight="false" outlineLevel="0" collapsed="false">
      <c r="B11" s="5" t="s">
        <v>8</v>
      </c>
      <c r="C11" s="8" t="n">
        <f aca="false">DCF!C27</f>
        <v>0.176544665659115</v>
      </c>
    </row>
    <row r="12" customFormat="false" ht="15" hidden="false" customHeight="false" outlineLevel="0" collapsed="false">
      <c r="B12" s="5" t="s">
        <v>9</v>
      </c>
      <c r="C12" s="8" t="n">
        <f aca="false">Assumptions!C27</f>
        <v>0.0900325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9" t="s">
        <v>11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10" t="s">
        <v>13</v>
      </c>
    </row>
    <row r="19" customFormat="false" ht="15" hidden="false" customHeight="false" outlineLevel="0" collapsed="false">
      <c r="B19" s="1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2"/>
  </cols>
  <sheetData>
    <row r="2" customFormat="false" ht="17.35" hidden="false" customHeight="false" outlineLevel="0" collapsed="false">
      <c r="B2" s="12" t="s">
        <v>15</v>
      </c>
    </row>
    <row r="3" customFormat="false" ht="15" hidden="false" customHeight="false" outlineLevel="0" collapsed="false">
      <c r="B3" s="13" t="s">
        <v>16</v>
      </c>
    </row>
    <row r="5" customFormat="false" ht="15" hidden="false" customHeight="false" outlineLevel="0" collapsed="false">
      <c r="B5" s="4" t="s">
        <v>17</v>
      </c>
    </row>
    <row r="6" customFormat="false" ht="15" hidden="false" customHeight="false" outlineLevel="0" collapsed="false">
      <c r="B6" s="5" t="s">
        <v>18</v>
      </c>
      <c r="C6" s="14" t="n">
        <v>6216</v>
      </c>
    </row>
    <row r="7" customFormat="false" ht="15" hidden="false" customHeight="false" outlineLevel="0" collapsed="false">
      <c r="B7" s="5" t="s">
        <v>19</v>
      </c>
      <c r="C7" s="15" t="n">
        <v>0.3</v>
      </c>
    </row>
    <row r="8" customFormat="false" ht="15" hidden="false" customHeight="false" outlineLevel="0" collapsed="false">
      <c r="B8" s="5" t="s">
        <v>20</v>
      </c>
      <c r="C8" s="14" t="n">
        <v>300</v>
      </c>
    </row>
    <row r="9" customFormat="false" ht="15" hidden="false" customHeight="false" outlineLevel="0" collapsed="false">
      <c r="B9" s="5" t="s">
        <v>21</v>
      </c>
      <c r="C9" s="14" t="n">
        <v>160</v>
      </c>
    </row>
    <row r="10" customFormat="false" ht="15" hidden="false" customHeight="false" outlineLevel="0" collapsed="false">
      <c r="B10" s="5" t="s">
        <v>22</v>
      </c>
      <c r="C10" s="14" t="n">
        <v>40</v>
      </c>
    </row>
    <row r="11" customFormat="false" ht="15" hidden="false" customHeight="false" outlineLevel="0" collapsed="false">
      <c r="B11" s="5" t="s">
        <v>23</v>
      </c>
      <c r="C11" s="15" t="n">
        <v>0.19</v>
      </c>
    </row>
    <row r="12" customFormat="false" ht="15" hidden="false" customHeight="false" outlineLevel="0" collapsed="false">
      <c r="B12" s="5" t="s">
        <v>24</v>
      </c>
      <c r="C12" s="16" t="n">
        <v>6</v>
      </c>
    </row>
    <row r="13" customFormat="false" ht="15" hidden="false" customHeight="false" outlineLevel="0" collapsed="false">
      <c r="C13" s="17" t="s">
        <v>25</v>
      </c>
      <c r="D13" s="17" t="s">
        <v>26</v>
      </c>
      <c r="E13" s="17" t="s">
        <v>27</v>
      </c>
      <c r="F13" s="17" t="s">
        <v>28</v>
      </c>
      <c r="G13" s="17" t="s">
        <v>29</v>
      </c>
    </row>
    <row r="14" customFormat="false" ht="15" hidden="false" customHeight="false" outlineLevel="0" collapsed="false">
      <c r="B14" s="5" t="s">
        <v>30</v>
      </c>
      <c r="C14" s="15" t="n">
        <v>-0.02</v>
      </c>
      <c r="D14" s="15" t="n">
        <v>-0.01</v>
      </c>
      <c r="E14" s="15" t="n">
        <v>0</v>
      </c>
      <c r="F14" s="15" t="n">
        <v>0.01</v>
      </c>
      <c r="G14" s="15" t="n">
        <v>0.01</v>
      </c>
    </row>
    <row r="16" customFormat="false" ht="15" hidden="false" customHeight="false" outlineLevel="0" collapsed="false">
      <c r="B16" s="4" t="s">
        <v>31</v>
      </c>
    </row>
    <row r="17" customFormat="false" ht="15" hidden="false" customHeight="false" outlineLevel="0" collapsed="false">
      <c r="B17" s="5" t="s">
        <v>32</v>
      </c>
      <c r="C17" s="15" t="n">
        <v>0.045</v>
      </c>
    </row>
    <row r="18" customFormat="false" ht="15" hidden="false" customHeight="false" outlineLevel="0" collapsed="false">
      <c r="B18" s="5" t="s">
        <v>33</v>
      </c>
      <c r="C18" s="15" t="n">
        <v>0.055</v>
      </c>
    </row>
    <row r="19" customFormat="false" ht="15" hidden="false" customHeight="false" outlineLevel="0" collapsed="false">
      <c r="B19" s="5" t="s">
        <v>34</v>
      </c>
      <c r="C19" s="18" t="n">
        <v>1.05</v>
      </c>
    </row>
    <row r="20" customFormat="false" ht="15" hidden="false" customHeight="false" outlineLevel="0" collapsed="false">
      <c r="B20" s="5" t="s">
        <v>35</v>
      </c>
      <c r="C20" s="19" t="n">
        <f aca="false">C17+C19*C18</f>
        <v>0.10275</v>
      </c>
    </row>
    <row r="21" customFormat="false" ht="15" hidden="false" customHeight="false" outlineLevel="0" collapsed="false">
      <c r="B21" s="5" t="s">
        <v>36</v>
      </c>
      <c r="C21" s="15" t="n">
        <v>0.07</v>
      </c>
    </row>
    <row r="22" customFormat="false" ht="15" hidden="false" customHeight="false" outlineLevel="0" collapsed="false">
      <c r="B22" s="5" t="s">
        <v>37</v>
      </c>
      <c r="C22" s="19" t="n">
        <f aca="false">C21*(1-C11)</f>
        <v>0.0567</v>
      </c>
    </row>
    <row r="23" customFormat="false" ht="15" hidden="false" customHeight="false" outlineLevel="0" collapsed="false">
      <c r="B23" s="5" t="s">
        <v>38</v>
      </c>
      <c r="C23" s="15" t="n">
        <v>0.65</v>
      </c>
    </row>
    <row r="24" customFormat="false" ht="15" hidden="false" customHeight="false" outlineLevel="0" collapsed="false">
      <c r="B24" s="5" t="s">
        <v>39</v>
      </c>
      <c r="C24" s="15" t="n">
        <v>0.35</v>
      </c>
    </row>
    <row r="25" customFormat="false" ht="15" hidden="false" customHeight="false" outlineLevel="0" collapsed="false">
      <c r="B25" s="5" t="s">
        <v>40</v>
      </c>
      <c r="C25" s="19" t="n">
        <f aca="false">C23*C20+C24*C22</f>
        <v>0.0866325</v>
      </c>
    </row>
    <row r="26" customFormat="false" ht="15" hidden="false" customHeight="false" outlineLevel="0" collapsed="false">
      <c r="B26" s="5" t="s">
        <v>41</v>
      </c>
      <c r="C26" s="15" t="n">
        <v>0.0034</v>
      </c>
    </row>
    <row r="27" customFormat="false" ht="15" hidden="false" customHeight="false" outlineLevel="0" collapsed="false">
      <c r="B27" s="20" t="s">
        <v>42</v>
      </c>
      <c r="C27" s="21" t="n">
        <f aca="false">C25+C26</f>
        <v>0.0900325</v>
      </c>
    </row>
    <row r="29" customFormat="false" ht="15" hidden="false" customHeight="false" outlineLevel="0" collapsed="false">
      <c r="B29" s="4" t="s">
        <v>43</v>
      </c>
    </row>
    <row r="30" customFormat="false" ht="15" hidden="false" customHeight="false" outlineLevel="0" collapsed="false">
      <c r="B30" s="5" t="s">
        <v>44</v>
      </c>
      <c r="C30" s="22" t="n">
        <v>260</v>
      </c>
    </row>
    <row r="31" customFormat="false" ht="15" hidden="false" customHeight="false" outlineLevel="0" collapsed="false">
      <c r="B31" s="5" t="s">
        <v>45</v>
      </c>
      <c r="C31" s="14" t="n">
        <v>8100</v>
      </c>
    </row>
    <row r="32" customFormat="false" ht="15" hidden="false" customHeight="false" outlineLevel="0" collapsed="false">
      <c r="B32" s="5" t="s">
        <v>7</v>
      </c>
      <c r="C32" s="23" t="n">
        <v>14</v>
      </c>
    </row>
    <row r="34" customFormat="false" ht="15" hidden="false" customHeight="false" outlineLevel="0" collapsed="false">
      <c r="B34" s="1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2"/>
  </cols>
  <sheetData>
    <row r="2" customFormat="false" ht="17.35" hidden="false" customHeight="false" outlineLevel="0" collapsed="false">
      <c r="B2" s="12" t="s">
        <v>47</v>
      </c>
    </row>
    <row r="3" customFormat="false" ht="15" hidden="false" customHeight="false" outlineLevel="0" collapsed="false">
      <c r="B3" s="24" t="s">
        <v>48</v>
      </c>
      <c r="C3" s="25" t="s">
        <v>25</v>
      </c>
      <c r="D3" s="25" t="s">
        <v>26</v>
      </c>
      <c r="E3" s="25" t="s">
        <v>27</v>
      </c>
      <c r="F3" s="25" t="s">
        <v>28</v>
      </c>
      <c r="G3" s="25" t="s">
        <v>29</v>
      </c>
    </row>
    <row r="4" customFormat="false" ht="15" hidden="false" customHeight="false" outlineLevel="0" collapsed="false">
      <c r="B4" s="26" t="s">
        <v>49</v>
      </c>
      <c r="C4" s="27" t="n">
        <v>1</v>
      </c>
      <c r="D4" s="27" t="n">
        <v>2</v>
      </c>
      <c r="E4" s="27" t="n">
        <v>3</v>
      </c>
      <c r="F4" s="27" t="n">
        <v>4</v>
      </c>
      <c r="G4" s="27" t="n">
        <v>5</v>
      </c>
    </row>
    <row r="5" customFormat="false" ht="15" hidden="false" customHeight="false" outlineLevel="0" collapsed="false">
      <c r="B5" s="5" t="s">
        <v>50</v>
      </c>
      <c r="C5" s="28" t="n">
        <f aca="false">Assumptions!$C$6*(1+Assumptions!C14)</f>
        <v>6091.68</v>
      </c>
      <c r="D5" s="28" t="n">
        <f aca="false">C5*(1+Assumptions!D14)</f>
        <v>6030.7632</v>
      </c>
      <c r="E5" s="28" t="n">
        <f aca="false">D5*(1+Assumptions!E14)</f>
        <v>6030.7632</v>
      </c>
      <c r="F5" s="28" t="n">
        <f aca="false">E5*(1+Assumptions!F14)</f>
        <v>6091.070832</v>
      </c>
      <c r="G5" s="28" t="n">
        <f aca="false">F5*(1+Assumptions!G14)</f>
        <v>6151.98154032</v>
      </c>
    </row>
    <row r="6" customFormat="false" ht="15" hidden="false" customHeight="false" outlineLevel="0" collapsed="false">
      <c r="B6" s="5" t="s">
        <v>51</v>
      </c>
      <c r="C6" s="28" t="n">
        <f aca="false">C5*Assumptions!$C$7</f>
        <v>1827.504</v>
      </c>
      <c r="D6" s="28" t="n">
        <f aca="false">D5*Assumptions!$C$7</f>
        <v>1809.22896</v>
      </c>
      <c r="E6" s="28" t="n">
        <f aca="false">E5*Assumptions!$C$7</f>
        <v>1809.22896</v>
      </c>
      <c r="F6" s="28" t="n">
        <f aca="false">F5*Assumptions!$C$7</f>
        <v>1827.3212496</v>
      </c>
      <c r="G6" s="28" t="n">
        <f aca="false">G5*Assumptions!$C$7</f>
        <v>1845.594462096</v>
      </c>
    </row>
    <row r="7" customFormat="false" ht="15" hidden="false" customHeight="false" outlineLevel="0" collapsed="false">
      <c r="B7" s="5" t="s">
        <v>52</v>
      </c>
      <c r="C7" s="28" t="n">
        <f aca="false">-Assumptions!$C$8</f>
        <v>-300</v>
      </c>
      <c r="D7" s="28" t="n">
        <f aca="false">-Assumptions!$C$8</f>
        <v>-300</v>
      </c>
      <c r="E7" s="28" t="n">
        <f aca="false">-Assumptions!$C$8</f>
        <v>-300</v>
      </c>
      <c r="F7" s="28" t="n">
        <f aca="false">-Assumptions!$C$8</f>
        <v>-300</v>
      </c>
      <c r="G7" s="28" t="n">
        <f aca="false">-Assumptions!$C$8</f>
        <v>-300</v>
      </c>
    </row>
    <row r="8" customFormat="false" ht="15" hidden="false" customHeight="false" outlineLevel="0" collapsed="false">
      <c r="B8" s="5" t="s">
        <v>53</v>
      </c>
      <c r="C8" s="28" t="n">
        <f aca="false">C6+C7</f>
        <v>1527.504</v>
      </c>
      <c r="D8" s="28" t="n">
        <f aca="false">D6+D7</f>
        <v>1509.22896</v>
      </c>
      <c r="E8" s="28" t="n">
        <f aca="false">E6+E7</f>
        <v>1509.22896</v>
      </c>
      <c r="F8" s="28" t="n">
        <f aca="false">F6+F7</f>
        <v>1527.3212496</v>
      </c>
      <c r="G8" s="28" t="n">
        <f aca="false">G6+G7</f>
        <v>1545.594462096</v>
      </c>
    </row>
    <row r="9" customFormat="false" ht="15" hidden="false" customHeight="false" outlineLevel="0" collapsed="false">
      <c r="B9" s="5" t="s">
        <v>54</v>
      </c>
      <c r="C9" s="28" t="n">
        <f aca="false">C8*(1-Assumptions!$C$11)</f>
        <v>1237.27824</v>
      </c>
      <c r="D9" s="28" t="n">
        <f aca="false">D8*(1-Assumptions!$C$11)</f>
        <v>1222.4754576</v>
      </c>
      <c r="E9" s="28" t="n">
        <f aca="false">E8*(1-Assumptions!$C$11)</f>
        <v>1222.4754576</v>
      </c>
      <c r="F9" s="28" t="n">
        <f aca="false">F8*(1-Assumptions!$C$11)</f>
        <v>1237.130212176</v>
      </c>
      <c r="G9" s="28" t="n">
        <f aca="false">G8*(1-Assumptions!$C$11)</f>
        <v>1251.93151429776</v>
      </c>
    </row>
    <row r="10" customFormat="false" ht="15" hidden="false" customHeight="false" outlineLevel="0" collapsed="false">
      <c r="B10" s="5" t="s">
        <v>55</v>
      </c>
      <c r="C10" s="28" t="n">
        <f aca="false">Assumptions!$C$8</f>
        <v>300</v>
      </c>
      <c r="D10" s="28" t="n">
        <f aca="false">Assumptions!$C$8</f>
        <v>300</v>
      </c>
      <c r="E10" s="28" t="n">
        <f aca="false">Assumptions!$C$8</f>
        <v>300</v>
      </c>
      <c r="F10" s="28" t="n">
        <f aca="false">Assumptions!$C$8</f>
        <v>300</v>
      </c>
      <c r="G10" s="28" t="n">
        <f aca="false">Assumptions!$C$8</f>
        <v>300</v>
      </c>
    </row>
    <row r="11" customFormat="false" ht="15" hidden="false" customHeight="false" outlineLevel="0" collapsed="false">
      <c r="B11" s="5" t="s">
        <v>56</v>
      </c>
      <c r="C11" s="28" t="n">
        <f aca="false">-Assumptions!$C$9</f>
        <v>-160</v>
      </c>
      <c r="D11" s="28" t="n">
        <f aca="false">-Assumptions!$C$9</f>
        <v>-160</v>
      </c>
      <c r="E11" s="28" t="n">
        <f aca="false">-Assumptions!$C$9</f>
        <v>-160</v>
      </c>
      <c r="F11" s="28" t="n">
        <f aca="false">-Assumptions!$C$9</f>
        <v>-160</v>
      </c>
      <c r="G11" s="28" t="n">
        <f aca="false">-Assumptions!$C$9</f>
        <v>-160</v>
      </c>
    </row>
    <row r="12" customFormat="false" ht="15" hidden="false" customHeight="false" outlineLevel="0" collapsed="false">
      <c r="B12" s="5" t="s">
        <v>57</v>
      </c>
      <c r="C12" s="28" t="n">
        <f aca="false">-Assumptions!$C$10</f>
        <v>-40</v>
      </c>
      <c r="D12" s="28" t="n">
        <f aca="false">-Assumptions!$C$10</f>
        <v>-40</v>
      </c>
      <c r="E12" s="28" t="n">
        <f aca="false">-Assumptions!$C$10</f>
        <v>-40</v>
      </c>
      <c r="F12" s="28" t="n">
        <f aca="false">-Assumptions!$C$10</f>
        <v>-40</v>
      </c>
      <c r="G12" s="28" t="n">
        <f aca="false">-Assumptions!$C$10</f>
        <v>-40</v>
      </c>
    </row>
    <row r="13" customFormat="false" ht="15" hidden="false" customHeight="false" outlineLevel="0" collapsed="false">
      <c r="B13" s="20" t="s">
        <v>58</v>
      </c>
      <c r="C13" s="28" t="n">
        <f aca="false">C9+C10+C11+C12</f>
        <v>1337.27824</v>
      </c>
      <c r="D13" s="28" t="n">
        <f aca="false">D9+D10+D11+D12</f>
        <v>1322.4754576</v>
      </c>
      <c r="E13" s="28" t="n">
        <f aca="false">E9+E10+E11+E12</f>
        <v>1322.4754576</v>
      </c>
      <c r="F13" s="28" t="n">
        <f aca="false">F9+F10+F11+F12</f>
        <v>1337.130212176</v>
      </c>
      <c r="G13" s="28" t="n">
        <f aca="false">G9+G10+G11+G12</f>
        <v>1351.93151429776</v>
      </c>
    </row>
    <row r="14" customFormat="false" ht="15" hidden="false" customHeight="false" outlineLevel="0" collapsed="false">
      <c r="B14" s="5" t="s">
        <v>59</v>
      </c>
      <c r="C14" s="29" t="n">
        <f aca="false">1/(1+Assumptions!$C$27)^C4</f>
        <v>0.917403838876364</v>
      </c>
      <c r="D14" s="29" t="n">
        <f aca="false">1/(1+Assumptions!$C$27)^D4</f>
        <v>0.841629803585089</v>
      </c>
      <c r="E14" s="29" t="n">
        <f aca="false">1/(1+Assumptions!$C$27)^E4</f>
        <v>0.772114412721721</v>
      </c>
      <c r="F14" s="29" t="n">
        <f aca="false">1/(1+Assumptions!$C$27)^F4</f>
        <v>0.708340726282676</v>
      </c>
      <c r="G14" s="29" t="n">
        <f aca="false">1/(1+Assumptions!$C$27)^G4</f>
        <v>0.649834501524199</v>
      </c>
    </row>
    <row r="15" customFormat="false" ht="15" hidden="false" customHeight="false" outlineLevel="0" collapsed="false">
      <c r="B15" s="5" t="s">
        <v>60</v>
      </c>
      <c r="C15" s="28" t="n">
        <f aca="false">C13*C14</f>
        <v>1226.82419102183</v>
      </c>
      <c r="D15" s="28" t="n">
        <f aca="false">D13*D14</f>
        <v>1113.03475962599</v>
      </c>
      <c r="E15" s="28" t="n">
        <f aca="false">E13*E14</f>
        <v>1021.10236128371</v>
      </c>
      <c r="F15" s="28" t="n">
        <f aca="false">F13*F14</f>
        <v>947.143785627257</v>
      </c>
      <c r="G15" s="28" t="n">
        <f aca="false">G13*G14</f>
        <v>878.53174168854</v>
      </c>
    </row>
    <row r="17" customFormat="false" ht="15" hidden="false" customHeight="false" outlineLevel="0" collapsed="false">
      <c r="B17" s="4" t="s">
        <v>61</v>
      </c>
    </row>
    <row r="18" customFormat="false" ht="15" hidden="false" customHeight="false" outlineLevel="0" collapsed="false">
      <c r="B18" s="5" t="s">
        <v>62</v>
      </c>
      <c r="C18" s="28" t="n">
        <f aca="false">SUM(C15:G15)</f>
        <v>5186.63683924733</v>
      </c>
    </row>
    <row r="19" customFormat="false" ht="15" hidden="false" customHeight="false" outlineLevel="0" collapsed="false">
      <c r="B19" s="5" t="s">
        <v>63</v>
      </c>
      <c r="C19" s="28" t="n">
        <f aca="false">Assumptions!$C$12*G6</f>
        <v>11073.566772576</v>
      </c>
    </row>
    <row r="20" customFormat="false" ht="15" hidden="false" customHeight="false" outlineLevel="0" collapsed="false">
      <c r="B20" s="5" t="s">
        <v>64</v>
      </c>
      <c r="C20" s="28" t="n">
        <f aca="false">C19*G14</f>
        <v>7195.98574375185</v>
      </c>
    </row>
    <row r="21" customFormat="false" ht="15" hidden="false" customHeight="false" outlineLevel="0" collapsed="false">
      <c r="B21" s="20" t="s">
        <v>65</v>
      </c>
      <c r="C21" s="30" t="n">
        <f aca="false">C18+C20</f>
        <v>12382.6225829992</v>
      </c>
    </row>
    <row r="22" customFormat="false" ht="15" hidden="false" customHeight="false" outlineLevel="0" collapsed="false">
      <c r="B22" s="5" t="s">
        <v>66</v>
      </c>
      <c r="C22" s="28" t="n">
        <f aca="false">-Assumptions!$C$31</f>
        <v>-8100</v>
      </c>
    </row>
    <row r="23" customFormat="false" ht="15" hidden="false" customHeight="false" outlineLevel="0" collapsed="false">
      <c r="B23" s="20" t="s">
        <v>67</v>
      </c>
      <c r="C23" s="30" t="n">
        <f aca="false">C21+C22</f>
        <v>4282.62258299918</v>
      </c>
    </row>
    <row r="24" customFormat="false" ht="15" hidden="false" customHeight="false" outlineLevel="0" collapsed="false">
      <c r="B24" s="5" t="s">
        <v>68</v>
      </c>
      <c r="C24" s="31" t="n">
        <f aca="false">Assumptions!$C$30</f>
        <v>260</v>
      </c>
    </row>
    <row r="25" customFormat="false" ht="15" hidden="false" customHeight="false" outlineLevel="0" collapsed="false">
      <c r="B25" s="20" t="s">
        <v>69</v>
      </c>
      <c r="C25" s="32" t="n">
        <f aca="false">C23/C24</f>
        <v>16.4716253192276</v>
      </c>
    </row>
    <row r="26" customFormat="false" ht="15" hidden="false" customHeight="false" outlineLevel="0" collapsed="false">
      <c r="B26" s="5" t="s">
        <v>7</v>
      </c>
      <c r="C26" s="7" t="n">
        <f aca="false">Assumptions!$C$32</f>
        <v>14</v>
      </c>
    </row>
    <row r="27" customFormat="false" ht="15" hidden="false" customHeight="false" outlineLevel="0" collapsed="false">
      <c r="B27" s="5" t="s">
        <v>8</v>
      </c>
      <c r="C27" s="19" t="n">
        <f aca="false">C25/C26-1</f>
        <v>0.176544665659115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7" min="3" style="0" width="11"/>
  </cols>
  <sheetData>
    <row r="2" customFormat="false" ht="17.35" hidden="false" customHeight="false" outlineLevel="0" collapsed="false">
      <c r="B2" s="12" t="s">
        <v>70</v>
      </c>
    </row>
    <row r="4" customFormat="false" ht="15" hidden="false" customHeight="false" outlineLevel="0" collapsed="false">
      <c r="B4" s="33" t="s">
        <v>71</v>
      </c>
      <c r="C4" s="34" t="n">
        <v>0.08</v>
      </c>
      <c r="D4" s="34" t="n">
        <v>0.085</v>
      </c>
      <c r="E4" s="34" t="n">
        <v>0.09</v>
      </c>
      <c r="F4" s="34" t="n">
        <v>0.095</v>
      </c>
      <c r="G4" s="34" t="n">
        <v>0.1</v>
      </c>
    </row>
    <row r="5" customFormat="false" ht="15" hidden="false" customHeight="false" outlineLevel="0" collapsed="false">
      <c r="B5" s="35" t="n">
        <v>5</v>
      </c>
      <c r="C5" s="36" t="n">
        <f aca="false">(SUMPRODUCT(DCF!$C$13:$G$13,(1+C$4)^(-DCF!$C$4:$G$4))+$B5*DCF!$G$6*(1+C$4)^(-5)-Assumptions!$C$31)/Assumptions!$C$30</f>
        <v>13.481496884202</v>
      </c>
      <c r="D5" s="36" t="n">
        <f aca="false">(SUMPRODUCT(DCF!$C$13:$G$13,(1+D$4)^(-DCF!$C$4:$G$4))+$B5*DCF!$G$6*(1+D$4)^(-5)-Assumptions!$C$31)/Assumptions!$C$30</f>
        <v>12.6624246734063</v>
      </c>
      <c r="E5" s="36" t="n">
        <f aca="false">(SUMPRODUCT(DCF!$C$13:$G$13,(1+E$4)^(-DCF!$C$4:$G$4))+$B5*DCF!$G$6*(1+E$4)^(-5)-Assumptions!$C$31)/Assumptions!$C$30</f>
        <v>11.8639381483019</v>
      </c>
      <c r="F5" s="36" t="n">
        <f aca="false">(SUMPRODUCT(DCF!$C$13:$G$13,(1+F$4)^(-DCF!$C$4:$G$4))+$B5*DCF!$G$6*(1+F$4)^(-5)-Assumptions!$C$31)/Assumptions!$C$30</f>
        <v>11.0854124460874</v>
      </c>
      <c r="G5" s="36" t="n">
        <f aca="false">(SUMPRODUCT(DCF!$C$13:$G$13,(1+G$4)^(-DCF!$C$4:$G$4))+$B5*DCF!$G$6*(1+G$4)^(-5)-Assumptions!$C$31)/Assumptions!$C$30</f>
        <v>10.3262446418477</v>
      </c>
    </row>
    <row r="6" customFormat="false" ht="15" hidden="false" customHeight="false" outlineLevel="0" collapsed="false">
      <c r="B6" s="35" t="n">
        <v>5.5</v>
      </c>
      <c r="C6" s="36" t="n">
        <f aca="false">(SUMPRODUCT(DCF!$C$13:$G$13,(1+C$4)^(-DCF!$C$4:$G$4))+$B6*DCF!$G$6*(1+C$4)^(-5)-Assumptions!$C$31)/Assumptions!$C$30</f>
        <v>15.8970364600502</v>
      </c>
      <c r="D6" s="36" t="n">
        <f aca="false">(SUMPRODUCT(DCF!$C$13:$G$13,(1+D$4)^(-DCF!$C$4:$G$4))+$B6*DCF!$G$6*(1+D$4)^(-5)-Assumptions!$C$31)/Assumptions!$C$30</f>
        <v>15.0228172700668</v>
      </c>
      <c r="E6" s="36" t="n">
        <f aca="false">(SUMPRODUCT(DCF!$C$13:$G$13,(1+E$4)^(-DCF!$C$4:$G$4))+$B6*DCF!$G$6*(1+E$4)^(-5)-Assumptions!$C$31)/Assumptions!$C$30</f>
        <v>14.1706877007915</v>
      </c>
      <c r="F6" s="36" t="n">
        <f aca="false">(SUMPRODUCT(DCF!$C$13:$G$13,(1+F$4)^(-DCF!$C$4:$G$4))+$B6*DCF!$G$6*(1+F$4)^(-5)-Assumptions!$C$31)/Assumptions!$C$30</f>
        <v>13.3399752561151</v>
      </c>
      <c r="G6" s="36" t="n">
        <f aca="false">(SUMPRODUCT(DCF!$C$13:$G$13,(1+G$4)^(-DCF!$C$4:$G$4))+$B6*DCF!$G$6*(1+G$4)^(-5)-Assumptions!$C$31)/Assumptions!$C$30</f>
        <v>12.5300310942233</v>
      </c>
    </row>
    <row r="7" customFormat="false" ht="15" hidden="false" customHeight="false" outlineLevel="0" collapsed="false">
      <c r="B7" s="35" t="n">
        <v>6</v>
      </c>
      <c r="C7" s="36" t="n">
        <f aca="false">(SUMPRODUCT(DCF!$C$13:$G$13,(1+C$4)^(-DCF!$C$4:$G$4))+$B7*DCF!$G$6*(1+C$4)^(-5)-Assumptions!$C$31)/Assumptions!$C$30</f>
        <v>18.3125760358985</v>
      </c>
      <c r="D7" s="36" t="n">
        <f aca="false">(SUMPRODUCT(DCF!$C$13:$G$13,(1+D$4)^(-DCF!$C$4:$G$4))+$B7*DCF!$G$6*(1+D$4)^(-5)-Assumptions!$C$31)/Assumptions!$C$30</f>
        <v>17.3832098667272</v>
      </c>
      <c r="E7" s="36" t="n">
        <f aca="false">(SUMPRODUCT(DCF!$C$13:$G$13,(1+E$4)^(-DCF!$C$4:$G$4))+$B7*DCF!$G$6*(1+E$4)^(-5)-Assumptions!$C$31)/Assumptions!$C$30</f>
        <v>16.4774372532811</v>
      </c>
      <c r="F7" s="36" t="n">
        <f aca="false">(SUMPRODUCT(DCF!$C$13:$G$13,(1+F$4)^(-DCF!$C$4:$G$4))+$B7*DCF!$G$6*(1+F$4)^(-5)-Assumptions!$C$31)/Assumptions!$C$30</f>
        <v>15.5945380661427</v>
      </c>
      <c r="G7" s="36" t="n">
        <f aca="false">(SUMPRODUCT(DCF!$C$13:$G$13,(1+G$4)^(-DCF!$C$4:$G$4))+$B7*DCF!$G$6*(1+G$4)^(-5)-Assumptions!$C$31)/Assumptions!$C$30</f>
        <v>14.7338175465988</v>
      </c>
    </row>
    <row r="8" customFormat="false" ht="15" hidden="false" customHeight="false" outlineLevel="0" collapsed="false">
      <c r="B8" s="35" t="n">
        <v>6.5</v>
      </c>
      <c r="C8" s="36" t="n">
        <f aca="false">(SUMPRODUCT(DCF!$C$13:$G$13,(1+C$4)^(-DCF!$C$4:$G$4))+$B8*DCF!$G$6*(1+C$4)^(-5)-Assumptions!$C$31)/Assumptions!$C$30</f>
        <v>20.7281156117467</v>
      </c>
      <c r="D8" s="36" t="n">
        <f aca="false">(SUMPRODUCT(DCF!$C$13:$G$13,(1+D$4)^(-DCF!$C$4:$G$4))+$B8*DCF!$G$6*(1+D$4)^(-5)-Assumptions!$C$31)/Assumptions!$C$30</f>
        <v>19.7436024633876</v>
      </c>
      <c r="E8" s="36" t="n">
        <f aca="false">(SUMPRODUCT(DCF!$C$13:$G$13,(1+E$4)^(-DCF!$C$4:$G$4))+$B8*DCF!$G$6*(1+E$4)^(-5)-Assumptions!$C$31)/Assumptions!$C$30</f>
        <v>18.7841868057707</v>
      </c>
      <c r="F8" s="36" t="n">
        <f aca="false">(SUMPRODUCT(DCF!$C$13:$G$13,(1+F$4)^(-DCF!$C$4:$G$4))+$B8*DCF!$G$6*(1+F$4)^(-5)-Assumptions!$C$31)/Assumptions!$C$30</f>
        <v>17.8491008761703</v>
      </c>
      <c r="G8" s="36" t="n">
        <f aca="false">(SUMPRODUCT(DCF!$C$13:$G$13,(1+G$4)^(-DCF!$C$4:$G$4))+$B8*DCF!$G$6*(1+G$4)^(-5)-Assumptions!$C$31)/Assumptions!$C$30</f>
        <v>16.9376039989744</v>
      </c>
    </row>
    <row r="9" customFormat="false" ht="15" hidden="false" customHeight="false" outlineLevel="0" collapsed="false">
      <c r="B9" s="35" t="n">
        <v>7</v>
      </c>
      <c r="C9" s="36" t="n">
        <f aca="false">(SUMPRODUCT(DCF!$C$13:$G$13,(1+C$4)^(-DCF!$C$4:$G$4))+$B9*DCF!$G$6*(1+C$4)^(-5)-Assumptions!$C$31)/Assumptions!$C$30</f>
        <v>23.1436551875949</v>
      </c>
      <c r="D9" s="36" t="n">
        <f aca="false">(SUMPRODUCT(DCF!$C$13:$G$13,(1+D$4)^(-DCF!$C$4:$G$4))+$B9*DCF!$G$6*(1+D$4)^(-5)-Assumptions!$C$31)/Assumptions!$C$30</f>
        <v>22.1039950600481</v>
      </c>
      <c r="E9" s="36" t="n">
        <f aca="false">(SUMPRODUCT(DCF!$C$13:$G$13,(1+E$4)^(-DCF!$C$4:$G$4))+$B9*DCF!$G$6*(1+E$4)^(-5)-Assumptions!$C$31)/Assumptions!$C$30</f>
        <v>21.0909363582603</v>
      </c>
      <c r="F9" s="36" t="n">
        <f aca="false">(SUMPRODUCT(DCF!$C$13:$G$13,(1+F$4)^(-DCF!$C$4:$G$4))+$B9*DCF!$G$6*(1+F$4)^(-5)-Assumptions!$C$31)/Assumptions!$C$30</f>
        <v>20.103663686198</v>
      </c>
      <c r="G9" s="36" t="n">
        <f aca="false">(SUMPRODUCT(DCF!$C$13:$G$13,(1+G$4)^(-DCF!$C$4:$G$4))+$B9*DCF!$G$6*(1+G$4)^(-5)-Assumptions!$C$31)/Assumptions!$C$30</f>
        <v>19.14139045135</v>
      </c>
    </row>
    <row r="11" customFormat="false" ht="15" hidden="false" customHeight="false" outlineLevel="0" collapsed="false">
      <c r="B11" s="11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6"/>
  </cols>
  <sheetData>
    <row r="2" customFormat="false" ht="17.35" hidden="false" customHeight="false" outlineLevel="0" collapsed="false">
      <c r="B2" s="12" t="s">
        <v>73</v>
      </c>
    </row>
    <row r="4" customFormat="false" ht="15" hidden="false" customHeight="false" outlineLevel="0" collapsed="false">
      <c r="B4" s="5" t="s">
        <v>74</v>
      </c>
      <c r="C4" s="14" t="n">
        <v>1910</v>
      </c>
    </row>
    <row r="6" customFormat="false" ht="15" hidden="false" customHeight="false" outlineLevel="0" collapsed="false">
      <c r="B6" s="37" t="s">
        <v>75</v>
      </c>
      <c r="C6" s="25" t="s">
        <v>76</v>
      </c>
    </row>
    <row r="7" customFormat="false" ht="15" hidden="false" customHeight="false" outlineLevel="0" collapsed="false">
      <c r="B7" s="5" t="s">
        <v>77</v>
      </c>
      <c r="C7" s="16" t="n">
        <v>6</v>
      </c>
    </row>
    <row r="8" customFormat="false" ht="15" hidden="false" customHeight="false" outlineLevel="0" collapsed="false">
      <c r="B8" s="5" t="s">
        <v>78</v>
      </c>
      <c r="C8" s="16" t="n">
        <v>7.2</v>
      </c>
    </row>
    <row r="9" customFormat="false" ht="15" hidden="false" customHeight="false" outlineLevel="0" collapsed="false">
      <c r="B9" s="5" t="s">
        <v>79</v>
      </c>
      <c r="C9" s="16" t="n">
        <v>7.8</v>
      </c>
    </row>
    <row r="10" customFormat="false" ht="15" hidden="false" customHeight="false" outlineLevel="0" collapsed="false">
      <c r="B10" s="5" t="s">
        <v>80</v>
      </c>
      <c r="C10" s="16" t="n">
        <v>11</v>
      </c>
    </row>
    <row r="11" customFormat="false" ht="15" hidden="false" customHeight="false" outlineLevel="0" collapsed="false">
      <c r="B11" s="5" t="s">
        <v>81</v>
      </c>
      <c r="C11" s="16" t="n">
        <v>12.5</v>
      </c>
    </row>
    <row r="13" customFormat="false" ht="15" hidden="false" customHeight="false" outlineLevel="0" collapsed="false">
      <c r="B13" s="5" t="s">
        <v>82</v>
      </c>
      <c r="C13" s="38" t="n">
        <f aca="false">MEDIAN(C7:C9)</f>
        <v>7.2</v>
      </c>
    </row>
    <row r="14" customFormat="false" ht="15" hidden="false" customHeight="false" outlineLevel="0" collapsed="false">
      <c r="B14" s="5" t="s">
        <v>83</v>
      </c>
      <c r="C14" s="38" t="n">
        <v>6</v>
      </c>
    </row>
    <row r="15" customFormat="false" ht="15" hidden="false" customHeight="false" outlineLevel="0" collapsed="false">
      <c r="B15" s="5" t="s">
        <v>84</v>
      </c>
      <c r="C15" s="38" t="n">
        <v>7.5</v>
      </c>
    </row>
    <row r="16" customFormat="false" ht="15" hidden="false" customHeight="false" outlineLevel="0" collapsed="false">
      <c r="B16" s="5"/>
      <c r="C16" s="39"/>
    </row>
    <row r="17" customFormat="false" ht="15" hidden="false" customHeight="false" outlineLevel="0" collapsed="false">
      <c r="B17" s="5" t="s">
        <v>85</v>
      </c>
      <c r="C17" s="28" t="n">
        <f aca="false">C14*C4</f>
        <v>11460</v>
      </c>
    </row>
    <row r="18" customFormat="false" ht="15" hidden="false" customHeight="false" outlineLevel="0" collapsed="false">
      <c r="B18" s="5" t="s">
        <v>86</v>
      </c>
      <c r="C18" s="28" t="n">
        <f aca="false">C15*C4</f>
        <v>14325</v>
      </c>
    </row>
    <row r="19" customFormat="false" ht="15" hidden="false" customHeight="false" outlineLevel="0" collapsed="false">
      <c r="B19" s="5" t="s">
        <v>87</v>
      </c>
      <c r="C19" s="36" t="n">
        <f aca="false">(C17-Assumptions!$C$31)/Assumptions!$C$30</f>
        <v>12.9230769230769</v>
      </c>
    </row>
    <row r="20" customFormat="false" ht="15" hidden="false" customHeight="false" outlineLevel="0" collapsed="false">
      <c r="B20" s="5" t="s">
        <v>88</v>
      </c>
      <c r="C20" s="36" t="n">
        <f aca="false">(C18-Assumptions!$C$31)/Assumptions!$C$30</f>
        <v>23.9423076923077</v>
      </c>
    </row>
    <row r="22" customFormat="false" ht="15" hidden="false" customHeight="false" outlineLevel="0" collapsed="false">
      <c r="B22" s="1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16"/>
  </cols>
  <sheetData>
    <row r="2" customFormat="false" ht="17.35" hidden="false" customHeight="false" outlineLevel="0" collapsed="false">
      <c r="B2" s="12" t="s">
        <v>90</v>
      </c>
    </row>
    <row r="4" customFormat="false" ht="15" hidden="false" customHeight="false" outlineLevel="0" collapsed="false">
      <c r="B4" s="0" t="s">
        <v>74</v>
      </c>
      <c r="C4" s="6" t="n">
        <f aca="false">'Trading Comps'!C4</f>
        <v>1910</v>
      </c>
    </row>
    <row r="6" customFormat="false" ht="15" hidden="false" customHeight="false" outlineLevel="0" collapsed="false">
      <c r="B6" s="37" t="s">
        <v>91</v>
      </c>
      <c r="C6" s="25" t="s">
        <v>76</v>
      </c>
    </row>
    <row r="7" customFormat="false" ht="15" hidden="false" customHeight="false" outlineLevel="0" collapsed="false">
      <c r="B7" s="5" t="s">
        <v>92</v>
      </c>
      <c r="C7" s="16" t="n">
        <v>5.5</v>
      </c>
    </row>
    <row r="8" customFormat="false" ht="15" hidden="false" customHeight="false" outlineLevel="0" collapsed="false">
      <c r="B8" s="5" t="s">
        <v>93</v>
      </c>
      <c r="C8" s="16" t="n">
        <v>8</v>
      </c>
    </row>
    <row r="9" customFormat="false" ht="15" hidden="false" customHeight="false" outlineLevel="0" collapsed="false">
      <c r="B9" s="5" t="s">
        <v>94</v>
      </c>
      <c r="C9" s="16" t="n">
        <v>10</v>
      </c>
    </row>
    <row r="11" customFormat="false" ht="15" hidden="false" customHeight="false" outlineLevel="0" collapsed="false">
      <c r="B11" s="0" t="s">
        <v>83</v>
      </c>
      <c r="C11" s="16" t="n">
        <v>7</v>
      </c>
    </row>
    <row r="12" customFormat="false" ht="15" hidden="false" customHeight="false" outlineLevel="0" collapsed="false">
      <c r="B12" s="0" t="s">
        <v>84</v>
      </c>
      <c r="C12" s="16" t="n">
        <v>9</v>
      </c>
    </row>
    <row r="14" customFormat="false" ht="15" hidden="false" customHeight="false" outlineLevel="0" collapsed="false">
      <c r="B14" s="0" t="s">
        <v>85</v>
      </c>
      <c r="C14" s="28" t="n">
        <f aca="false">C11*C4</f>
        <v>13370</v>
      </c>
    </row>
    <row r="15" customFormat="false" ht="15" hidden="false" customHeight="false" outlineLevel="0" collapsed="false">
      <c r="B15" s="0" t="s">
        <v>86</v>
      </c>
      <c r="C15" s="28" t="n">
        <f aca="false">C12*C4</f>
        <v>17190</v>
      </c>
    </row>
    <row r="16" customFormat="false" ht="15" hidden="false" customHeight="false" outlineLevel="0" collapsed="false">
      <c r="B16" s="0" t="s">
        <v>87</v>
      </c>
      <c r="C16" s="36" t="n">
        <f aca="false">(C14-Assumptions!$C$31)/Assumptions!$C$30</f>
        <v>20.2692307692308</v>
      </c>
    </row>
    <row r="17" customFormat="false" ht="15" hidden="false" customHeight="false" outlineLevel="0" collapsed="false">
      <c r="B17" s="0" t="s">
        <v>88</v>
      </c>
      <c r="C17" s="36" t="n">
        <f aca="false">(C15-Assumptions!$C$31)/Assumptions!$C$30</f>
        <v>34.9615384615385</v>
      </c>
    </row>
    <row r="19" customFormat="false" ht="15" hidden="false" customHeight="false" outlineLevel="0" collapsed="false">
      <c r="B19" s="11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4" min="3" style="0" width="12"/>
  </cols>
  <sheetData>
    <row r="2" customFormat="false" ht="17.35" hidden="false" customHeight="false" outlineLevel="0" collapsed="false">
      <c r="B2" s="12" t="s">
        <v>96</v>
      </c>
    </row>
    <row r="4" customFormat="false" ht="15" hidden="false" customHeight="false" outlineLevel="0" collapsed="false">
      <c r="B4" s="37" t="s">
        <v>97</v>
      </c>
      <c r="C4" s="25" t="s">
        <v>98</v>
      </c>
      <c r="D4" s="25" t="s">
        <v>99</v>
      </c>
    </row>
    <row r="5" customFormat="false" ht="15" hidden="false" customHeight="false" outlineLevel="0" collapsed="false">
      <c r="B5" s="5" t="s">
        <v>100</v>
      </c>
      <c r="C5" s="7" t="n">
        <f aca="false">Sensitivity!F6</f>
        <v>13.3399752561151</v>
      </c>
      <c r="D5" s="7" t="n">
        <f aca="false">Sensitivity!D8</f>
        <v>19.7436024633876</v>
      </c>
    </row>
    <row r="6" customFormat="false" ht="15" hidden="false" customHeight="false" outlineLevel="0" collapsed="false">
      <c r="B6" s="5" t="s">
        <v>101</v>
      </c>
      <c r="C6" s="7" t="n">
        <f aca="false">'Trading Comps'!C19</f>
        <v>12.9230769230769</v>
      </c>
      <c r="D6" s="7" t="n">
        <f aca="false">'Trading Comps'!C20</f>
        <v>23.9423076923077</v>
      </c>
    </row>
    <row r="7" customFormat="false" ht="15" hidden="false" customHeight="false" outlineLevel="0" collapsed="false">
      <c r="B7" s="5" t="s">
        <v>102</v>
      </c>
      <c r="C7" s="7" t="n">
        <f aca="false">Precedents!C16</f>
        <v>20.2692307692308</v>
      </c>
      <c r="D7" s="7" t="n">
        <f aca="false">Precedents!C17</f>
        <v>34.9615384615385</v>
      </c>
    </row>
    <row r="8" customFormat="false" ht="15" hidden="false" customHeight="false" outlineLevel="0" collapsed="false">
      <c r="B8" s="5" t="s">
        <v>103</v>
      </c>
      <c r="C8" s="23" t="n">
        <v>9</v>
      </c>
      <c r="D8" s="23" t="n">
        <v>22</v>
      </c>
    </row>
    <row r="10" customFormat="false" ht="15" hidden="false" customHeight="false" outlineLevel="0" collapsed="false">
      <c r="B10" s="20" t="s">
        <v>7</v>
      </c>
      <c r="C10" s="7" t="n">
        <f aca="false">Assumptions!$C$32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2026-07-27T05:51:23Z</dcterms:created>
  <dc:creator>openpyxl</dc:creator>
  <dc:description/>
  <dc:language>en-US</dc:language>
  <cp:lastModifiedBy/>
  <dcterms:modified xsi:type="dcterms:W3CDTF">2026-07-27T05:51:23Z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